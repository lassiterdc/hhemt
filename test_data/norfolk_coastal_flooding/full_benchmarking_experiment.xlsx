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ropbox\_GradSchool\repos\TRITON-SWMM_benchmarking\tests\data\"/>
    </mc:Choice>
  </mc:AlternateContent>
  <xr:revisionPtr revIDLastSave="0" documentId="13_ncr:1_{8BEEDB0B-FDC7-457E-86CC-F39984AFA45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F13" i="1"/>
  <c r="G13" i="1" s="1"/>
  <c r="H12" i="1"/>
  <c r="I12" i="1" s="1"/>
  <c r="F12" i="1"/>
  <c r="G12" i="1" s="1"/>
  <c r="H11" i="1"/>
  <c r="G11" i="1"/>
  <c r="F11" i="1"/>
  <c r="I13" i="1"/>
  <c r="I11" i="1"/>
  <c r="H10" i="1"/>
  <c r="I10" i="1" s="1"/>
  <c r="F10" i="1"/>
  <c r="G10" i="1" s="1"/>
  <c r="H9" i="1"/>
  <c r="I9" i="1" s="1"/>
  <c r="G9" i="1"/>
  <c r="F9" i="1"/>
  <c r="H8" i="1"/>
  <c r="I8" i="1" s="1"/>
  <c r="F8" i="1"/>
  <c r="G8" i="1" s="1"/>
  <c r="I7" i="1"/>
  <c r="H7" i="1"/>
  <c r="F7" i="1"/>
  <c r="G7" i="1" s="1"/>
  <c r="I6" i="1"/>
  <c r="H6" i="1"/>
  <c r="G6" i="1"/>
  <c r="F6" i="1"/>
  <c r="I5" i="1"/>
  <c r="H5" i="1"/>
  <c r="F5" i="1"/>
  <c r="G5" i="1" s="1"/>
  <c r="I4" i="1"/>
  <c r="H4" i="1"/>
  <c r="F4" i="1"/>
  <c r="G4" i="1" s="1"/>
  <c r="H3" i="1"/>
  <c r="I3" i="1" s="1"/>
  <c r="G3" i="1"/>
  <c r="F3" i="1"/>
  <c r="I2" i="1"/>
  <c r="H2" i="1"/>
  <c r="F2" i="1"/>
  <c r="G2" i="1" s="1"/>
  <c r="H43" i="1"/>
  <c r="I43" i="1" s="1"/>
  <c r="F43" i="1"/>
  <c r="G43" i="1" s="1"/>
  <c r="H42" i="1"/>
  <c r="I42" i="1" s="1"/>
  <c r="F42" i="1"/>
  <c r="G42" i="1" s="1"/>
  <c r="H41" i="1"/>
  <c r="I41" i="1" s="1"/>
  <c r="F41" i="1"/>
  <c r="G41" i="1" s="1"/>
  <c r="H40" i="1"/>
  <c r="I40" i="1" s="1"/>
  <c r="F40" i="1"/>
  <c r="G40" i="1" s="1"/>
  <c r="H39" i="1"/>
  <c r="I39" i="1" s="1"/>
  <c r="F39" i="1"/>
  <c r="G39" i="1" s="1"/>
  <c r="H38" i="1"/>
  <c r="I38" i="1" s="1"/>
  <c r="F38" i="1"/>
  <c r="G38" i="1" s="1"/>
  <c r="H37" i="1"/>
  <c r="I37" i="1" s="1"/>
  <c r="F37" i="1"/>
  <c r="G37" i="1" s="1"/>
  <c r="H36" i="1"/>
  <c r="I36" i="1" s="1"/>
  <c r="F36" i="1"/>
  <c r="G36" i="1" s="1"/>
  <c r="H35" i="1"/>
  <c r="I35" i="1" s="1"/>
  <c r="F35" i="1"/>
  <c r="G35" i="1" s="1"/>
  <c r="H34" i="1"/>
  <c r="I34" i="1" s="1"/>
  <c r="F34" i="1"/>
  <c r="G34" i="1" s="1"/>
  <c r="H33" i="1"/>
  <c r="I33" i="1" s="1"/>
  <c r="F33" i="1"/>
  <c r="G33" i="1" s="1"/>
  <c r="H32" i="1"/>
  <c r="I32" i="1" s="1"/>
  <c r="F32" i="1"/>
  <c r="G32" i="1" s="1"/>
  <c r="H31" i="1"/>
  <c r="I31" i="1" s="1"/>
  <c r="F31" i="1"/>
  <c r="G31" i="1" s="1"/>
  <c r="H30" i="1"/>
  <c r="I30" i="1" s="1"/>
  <c r="F30" i="1"/>
  <c r="G30" i="1" s="1"/>
  <c r="H29" i="1"/>
  <c r="I29" i="1" s="1"/>
  <c r="F29" i="1"/>
  <c r="G29" i="1" s="1"/>
  <c r="H28" i="1"/>
  <c r="I28" i="1" s="1"/>
  <c r="F28" i="1"/>
  <c r="G28" i="1" s="1"/>
  <c r="H27" i="1"/>
  <c r="I27" i="1" s="1"/>
  <c r="F27" i="1"/>
  <c r="G27" i="1" s="1"/>
  <c r="H26" i="1"/>
  <c r="I26" i="1" s="1"/>
  <c r="F26" i="1"/>
  <c r="G26" i="1" s="1"/>
  <c r="H25" i="1"/>
  <c r="I25" i="1" s="1"/>
  <c r="F25" i="1"/>
  <c r="G25" i="1" s="1"/>
  <c r="H24" i="1"/>
  <c r="I24" i="1" s="1"/>
  <c r="F24" i="1"/>
  <c r="G24" i="1" s="1"/>
  <c r="H23" i="1"/>
  <c r="I23" i="1" s="1"/>
  <c r="F23" i="1"/>
  <c r="G23" i="1" s="1"/>
  <c r="H22" i="1"/>
  <c r="I22" i="1" s="1"/>
  <c r="F22" i="1"/>
  <c r="G22" i="1" s="1"/>
  <c r="H21" i="1"/>
  <c r="I21" i="1" s="1"/>
  <c r="F21" i="1"/>
  <c r="G21" i="1" s="1"/>
  <c r="H20" i="1"/>
  <c r="I20" i="1" s="1"/>
  <c r="F20" i="1"/>
  <c r="G20" i="1" s="1"/>
  <c r="H19" i="1"/>
  <c r="I19" i="1" s="1"/>
  <c r="F19" i="1"/>
  <c r="G19" i="1" s="1"/>
  <c r="H18" i="1"/>
  <c r="I18" i="1" s="1"/>
  <c r="F18" i="1"/>
  <c r="G18" i="1" s="1"/>
  <c r="H17" i="1"/>
  <c r="I17" i="1" s="1"/>
  <c r="F17" i="1"/>
  <c r="G17" i="1" s="1"/>
  <c r="H16" i="1"/>
  <c r="I16" i="1" s="1"/>
  <c r="F16" i="1"/>
  <c r="G16" i="1" s="1"/>
  <c r="H15" i="1"/>
  <c r="I15" i="1" s="1"/>
  <c r="F15" i="1"/>
  <c r="G15" i="1" s="1"/>
  <c r="H14" i="1"/>
  <c r="I14" i="1" s="1"/>
  <c r="F14" i="1"/>
  <c r="G14" i="1" s="1"/>
  <c r="H61" i="1"/>
  <c r="I61" i="1" s="1"/>
  <c r="F61" i="1"/>
  <c r="G61" i="1" s="1"/>
  <c r="H60" i="1"/>
  <c r="I60" i="1" s="1"/>
  <c r="F60" i="1"/>
  <c r="G60" i="1" s="1"/>
  <c r="H59" i="1"/>
  <c r="I59" i="1" s="1"/>
  <c r="F59" i="1"/>
  <c r="G59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</calcChain>
</file>

<file path=xl/sharedStrings.xml><?xml version="1.0" encoding="utf-8"?>
<sst xmlns="http://schemas.openxmlformats.org/spreadsheetml/2006/main" count="129" uniqueCount="15">
  <si>
    <t>CPU</t>
  </si>
  <si>
    <t>GPU</t>
  </si>
  <si>
    <t>MPI_ranks_per_node</t>
  </si>
  <si>
    <t>Baseline - 1 CPU</t>
  </si>
  <si>
    <t>Multi-CPU - OMP</t>
  </si>
  <si>
    <t>Multi-CPU - MPI</t>
  </si>
  <si>
    <t>Multi-CPU - HYB</t>
  </si>
  <si>
    <t>OpenMP_threads_per_rank</t>
  </si>
  <si>
    <t>devices_per_node</t>
  </si>
  <si>
    <t>hardware_utilization_strategy</t>
  </si>
  <si>
    <t>device</t>
  </si>
  <si>
    <t>nodes</t>
  </si>
  <si>
    <t>total_MPI_ranks</t>
  </si>
  <si>
    <t>total_OpenMP_threads</t>
  </si>
  <si>
    <t>total_devices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</si>
</sst>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1" fillId="4" borderId="3" applyNumberFormat="0" applyFont="0" applyAlignment="0" applyProtection="0"/>
  </cellStyleXfs>
  <cellXfs count="15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4" borderId="8" xfId="3" applyFont="1" applyBorder="1"/>
    <xf numFmtId="0" fontId="0" fillId="4" borderId="4" xfId="3" applyFont="1" applyBorder="1"/>
    <xf numFmtId="0" fontId="2" fillId="2" borderId="4" xfId="1" applyBorder="1"/>
    <xf numFmtId="0" fontId="3" fillId="3" borderId="4" xfId="2" applyBorder="1"/>
    <xf numFmtId="0" fontId="3" fillId="3" borderId="9" xfId="2" applyNumberFormat="1" applyBorder="1"/>
    <xf numFmtId="0" fontId="3" fillId="3" borderId="9" xfId="2" applyBorder="1"/>
    <xf numFmtId="0" fontId="0" fillId="4" borderId="10" xfId="3" applyFont="1" applyBorder="1"/>
    <xf numFmtId="0" fontId="0" fillId="4" borderId="11" xfId="3" applyFont="1" applyBorder="1"/>
    <xf numFmtId="0" fontId="2" fillId="2" borderId="11" xfId="1" applyBorder="1"/>
    <xf numFmtId="0" fontId="3" fillId="3" borderId="11" xfId="2" applyBorder="1"/>
    <xf numFmtId="0" fontId="3" fillId="3" borderId="12" xfId="2" applyNumberFormat="1" applyBorder="1"/>
  </cellXfs>
  <cellStyles count="4">
    <cellStyle name="Input" xfId="1" builtinId="20"/>
    <cellStyle name="Normal" xfId="0" builtinId="0"/>
    <cellStyle name="Note" xfId="3" builtinId="10"/>
    <cellStyle name="Output" xfId="2" builtinId="21"/>
  </cellStyles>
  <dxfs count="13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0</xdr:row>
      <xdr:rowOff>104775</xdr:rowOff>
    </xdr:from>
    <xdr:to>
      <xdr:col>17</xdr:col>
      <xdr:colOff>66675</xdr:colOff>
      <xdr:row>12</xdr:row>
      <xdr:rowOff>66674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078ABA-2785-9D8C-7A72-890AD15CFDCD}"/>
            </a:ext>
          </a:extLst>
        </xdr:cNvPr>
        <xdr:cNvSpPr txBox="1"/>
      </xdr:nvSpPr>
      <xdr:spPr>
        <a:xfrm>
          <a:off x="12706350" y="104775"/>
          <a:ext cx="4276725" cy="2247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 Frontier has 64 physical cores per</a:t>
          </a:r>
          <a:r>
            <a:rPr lang="en-US" sz="1100" baseline="0"/>
            <a:t> node and 8 GPUs per node</a:t>
          </a:r>
        </a:p>
        <a:p>
          <a:endParaRPr lang="en-US" sz="1100"/>
        </a:p>
        <a:p>
          <a:r>
            <a:rPr lang="en-US" sz="1100"/>
            <a:t>Multi</a:t>
          </a:r>
          <a:r>
            <a:rPr lang="en-US" sz="1100" baseline="0"/>
            <a:t> CPU test summary:</a:t>
          </a:r>
        </a:p>
        <a:p>
          <a:r>
            <a:rPr lang="en-US" sz="1100" baseline="0"/>
            <a:t>- Test every combination of OpenMP, MPI, and hybrid configurations on 1 node across n-devices = [2, 4, 8, 16, 32, 64]</a:t>
          </a:r>
        </a:p>
        <a:p>
          <a:r>
            <a:rPr lang="en-US" sz="1100" baseline="0"/>
            <a:t>- Test 2, 4, and 8 nodes with n-devices-per-node=64</a:t>
          </a:r>
        </a:p>
        <a:p>
          <a:endParaRPr lang="en-US" sz="1100" baseline="0"/>
        </a:p>
        <a:p>
          <a:r>
            <a:rPr lang="en-US" sz="1100" baseline="0"/>
            <a:t>GPU test summary:</a:t>
          </a:r>
        </a:p>
        <a:p>
          <a:r>
            <a:rPr lang="en-US" sz="1100" baseline="0"/>
            <a:t>- On 1 node, test n-devices from 1 through 8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Test 2, 4, and 8 nodes with n-devices-per-node=8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495C6-64F1-4654-82C3-1417CFDBC1D1}" name="Table1" displayName="Table1" ref="A1:I61" totalsRowShown="0" headerRowDxfId="0" headerRowBorderDxfId="11" tableBorderDxfId="12" totalsRowBorderDxfId="10">
  <autoFilter ref="A1:I61" xr:uid="{1A4495C6-64F1-4654-82C3-1417CFDBC1D1}"/>
  <sortState xmlns:xlrd2="http://schemas.microsoft.com/office/spreadsheetml/2017/richdata2" ref="A2:I61">
    <sortCondition ref="A1:A61"/>
  </sortState>
  <tableColumns count="9">
    <tableColumn id="11" xr3:uid="{3DECB62C-AAF2-4EC7-8598-5E8776D4B845}" name="hardware_utilization_strategy" dataDxfId="9" dataCellStyle="Note"/>
    <tableColumn id="9" xr3:uid="{047B8296-C28F-43DA-A753-CC6445B34CE4}" name="device" dataDxfId="8" dataCellStyle="Note"/>
    <tableColumn id="2" xr3:uid="{09DC1F4B-B2B0-493A-B83E-1D7D4EA31F4C}" name="nodes" dataDxfId="7" dataCellStyle="Input"/>
    <tableColumn id="3" xr3:uid="{3A65E5E5-CB8B-4698-A27C-21DF3A95D49A}" name="MPI_ranks_per_node" dataDxfId="6" dataCellStyle="Input"/>
    <tableColumn id="4" xr3:uid="{D366E835-7967-45B3-94DD-92B04C3126AA}" name="OpenMP_threads_per_rank" dataDxfId="5" dataCellStyle="Input"/>
    <tableColumn id="5" xr3:uid="{4E090350-4FC8-498D-A3DF-C96FED73C7DB}" name="total_MPI_ranks" dataDxfId="4" dataCellStyle="Output"/>
    <tableColumn id="6" xr3:uid="{F6B7A6B4-BD4B-4406-BCB7-C3DBCC48FA6B}" name="total_OpenMP_threads" dataDxfId="3" dataCellStyle="Output"/>
    <tableColumn id="7" xr3:uid="{8B064801-C992-4C19-AF9B-73CC7D0951B1}" name="total_devices" dataDxfId="2" dataCellStyle="Output"/>
    <tableColumn id="10" xr3:uid="{C813D3D6-6AEA-4168-A5C0-6FD56BB1D36D}" name="devices_per_node" dataDxfId="1" dataCellStyle="Output">
      <calculatedColumnFormula>Table1[[#This Row],[total_devices]]/Table1[[#This Row],[nodes]]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D12" sqref="D12"/>
    </sheetView>
  </sheetViews>
  <sheetFormatPr defaultRowHeight="15" x14ac:dyDescent="0.25"/>
  <cols>
    <col min="1" max="1" width="29.85546875" bestFit="1" customWidth="1"/>
    <col min="2" max="2" width="9.28515625" bestFit="1" customWidth="1"/>
    <col min="3" max="3" width="9" bestFit="1" customWidth="1"/>
    <col min="4" max="4" width="22.42578125" bestFit="1" customWidth="1"/>
    <col min="5" max="5" width="28.28515625" bestFit="1" customWidth="1"/>
    <col min="6" max="6" width="18.140625" bestFit="1" customWidth="1"/>
    <col min="7" max="7" width="24.7109375" bestFit="1" customWidth="1"/>
    <col min="8" max="8" width="19" customWidth="1"/>
    <col min="9" max="9" width="19.85546875" bestFit="1" customWidth="1"/>
  </cols>
  <sheetData>
    <row r="1" spans="1:9" x14ac:dyDescent="0.25">
      <c r="A1" s="1" t="s">
        <v>9</v>
      </c>
      <c r="B1" s="2" t="s">
        <v>10</v>
      </c>
      <c r="C1" s="2" t="s">
        <v>11</v>
      </c>
      <c r="D1" s="2" t="s">
        <v>2</v>
      </c>
      <c r="E1" s="2" t="s">
        <v>7</v>
      </c>
      <c r="F1" s="2" t="s">
        <v>12</v>
      </c>
      <c r="G1" s="2" t="s">
        <v>13</v>
      </c>
      <c r="H1" s="2" t="s">
        <v>14</v>
      </c>
      <c r="I1" s="3" t="s">
        <v>8</v>
      </c>
    </row>
    <row r="2" spans="1:9" x14ac:dyDescent="0.25">
      <c r="A2" s="4" t="s">
        <v>3</v>
      </c>
      <c r="B2" s="5" t="s">
        <v>0</v>
      </c>
      <c r="C2" s="6">
        <v>1</v>
      </c>
      <c r="D2" s="6">
        <v>1</v>
      </c>
      <c r="E2" s="6">
        <v>1</v>
      </c>
      <c r="F2" s="7">
        <f>Table1[[#This Row],[MPI_ranks_per_node]]*Table1[[#This Row],[nodes]]</f>
        <v>1</v>
      </c>
      <c r="G2" s="7">
        <f>Table1[[#This Row],[total_MPI_ranks]]*Table1[[#This Row],[OpenMP_threads_per_rank]]</f>
        <v>1</v>
      </c>
      <c r="H2" s="7">
        <f>Table1[[#This Row],[OpenMP_threads_per_rank]]*Table1[[#This Row],[MPI_ranks_per_node]]*Table1[[#This Row],[nodes]]</f>
        <v>1</v>
      </c>
      <c r="I2" s="8">
        <f>Table1[[#This Row],[total_devices]]/Table1[[#This Row],[nodes]]</f>
        <v>1</v>
      </c>
    </row>
    <row r="3" spans="1:9" x14ac:dyDescent="0.25">
      <c r="A3" s="4" t="s">
        <v>1</v>
      </c>
      <c r="B3" s="5" t="s">
        <v>1</v>
      </c>
      <c r="C3" s="6">
        <v>1</v>
      </c>
      <c r="D3" s="6">
        <v>1</v>
      </c>
      <c r="E3" s="6">
        <v>1</v>
      </c>
      <c r="F3" s="7">
        <f>Table1[[#This Row],[MPI_ranks_per_node]]*Table1[[#This Row],[nodes]]</f>
        <v>1</v>
      </c>
      <c r="G3" s="7">
        <f>Table1[[#This Row],[total_MPI_ranks]]*Table1[[#This Row],[OpenMP_threads_per_rank]]</f>
        <v>1</v>
      </c>
      <c r="H3" s="7">
        <f>Table1[[#This Row],[OpenMP_threads_per_rank]]*Table1[[#This Row],[MPI_ranks_per_node]]*Table1[[#This Row],[nodes]]</f>
        <v>1</v>
      </c>
      <c r="I3" s="8">
        <f>Table1[[#This Row],[total_devices]]/Table1[[#This Row],[nodes]]</f>
        <v>1</v>
      </c>
    </row>
    <row r="4" spans="1:9" x14ac:dyDescent="0.25">
      <c r="A4" s="4" t="s">
        <v>1</v>
      </c>
      <c r="B4" s="5" t="s">
        <v>1</v>
      </c>
      <c r="C4" s="6">
        <v>1</v>
      </c>
      <c r="D4" s="6">
        <v>2</v>
      </c>
      <c r="E4" s="6">
        <v>1</v>
      </c>
      <c r="F4" s="7">
        <f>Table1[[#This Row],[MPI_ranks_per_node]]*Table1[[#This Row],[nodes]]</f>
        <v>2</v>
      </c>
      <c r="G4" s="7">
        <f>Table1[[#This Row],[total_MPI_ranks]]*Table1[[#This Row],[OpenMP_threads_per_rank]]</f>
        <v>2</v>
      </c>
      <c r="H4" s="7">
        <f>Table1[[#This Row],[OpenMP_threads_per_rank]]*Table1[[#This Row],[MPI_ranks_per_node]]*Table1[[#This Row],[nodes]]</f>
        <v>2</v>
      </c>
      <c r="I4" s="8">
        <f>Table1[[#This Row],[total_devices]]/Table1[[#This Row],[nodes]]</f>
        <v>2</v>
      </c>
    </row>
    <row r="5" spans="1:9" x14ac:dyDescent="0.25">
      <c r="A5" s="4" t="s">
        <v>1</v>
      </c>
      <c r="B5" s="5" t="s">
        <v>1</v>
      </c>
      <c r="C5" s="6">
        <v>1</v>
      </c>
      <c r="D5" s="6">
        <v>3</v>
      </c>
      <c r="E5" s="6">
        <v>1</v>
      </c>
      <c r="F5" s="7">
        <f>Table1[[#This Row],[MPI_ranks_per_node]]*Table1[[#This Row],[nodes]]</f>
        <v>3</v>
      </c>
      <c r="G5" s="7">
        <f>Table1[[#This Row],[total_MPI_ranks]]*Table1[[#This Row],[OpenMP_threads_per_rank]]</f>
        <v>3</v>
      </c>
      <c r="H5" s="7">
        <f>Table1[[#This Row],[OpenMP_threads_per_rank]]*Table1[[#This Row],[MPI_ranks_per_node]]*Table1[[#This Row],[nodes]]</f>
        <v>3</v>
      </c>
      <c r="I5" s="8">
        <f>Table1[[#This Row],[total_devices]]/Table1[[#This Row],[nodes]]</f>
        <v>3</v>
      </c>
    </row>
    <row r="6" spans="1:9" x14ac:dyDescent="0.25">
      <c r="A6" s="4" t="s">
        <v>1</v>
      </c>
      <c r="B6" s="5" t="s">
        <v>1</v>
      </c>
      <c r="C6" s="6">
        <v>1</v>
      </c>
      <c r="D6" s="6">
        <v>4</v>
      </c>
      <c r="E6" s="6">
        <v>1</v>
      </c>
      <c r="F6" s="7">
        <f>Table1[[#This Row],[MPI_ranks_per_node]]*Table1[[#This Row],[nodes]]</f>
        <v>4</v>
      </c>
      <c r="G6" s="7">
        <f>Table1[[#This Row],[total_MPI_ranks]]*Table1[[#This Row],[OpenMP_threads_per_rank]]</f>
        <v>4</v>
      </c>
      <c r="H6" s="7">
        <f>Table1[[#This Row],[OpenMP_threads_per_rank]]*Table1[[#This Row],[MPI_ranks_per_node]]*Table1[[#This Row],[nodes]]</f>
        <v>4</v>
      </c>
      <c r="I6" s="8">
        <f>Table1[[#This Row],[total_devices]]/Table1[[#This Row],[nodes]]</f>
        <v>4</v>
      </c>
    </row>
    <row r="7" spans="1:9" x14ac:dyDescent="0.25">
      <c r="A7" s="4" t="s">
        <v>1</v>
      </c>
      <c r="B7" s="5" t="s">
        <v>1</v>
      </c>
      <c r="C7" s="6">
        <v>1</v>
      </c>
      <c r="D7" s="6">
        <v>5</v>
      </c>
      <c r="E7" s="6">
        <v>1</v>
      </c>
      <c r="F7" s="7">
        <f>Table1[[#This Row],[MPI_ranks_per_node]]*Table1[[#This Row],[nodes]]</f>
        <v>5</v>
      </c>
      <c r="G7" s="7">
        <f>Table1[[#This Row],[total_MPI_ranks]]*Table1[[#This Row],[OpenMP_threads_per_rank]]</f>
        <v>5</v>
      </c>
      <c r="H7" s="7">
        <f>Table1[[#This Row],[OpenMP_threads_per_rank]]*Table1[[#This Row],[MPI_ranks_per_node]]*Table1[[#This Row],[nodes]]</f>
        <v>5</v>
      </c>
      <c r="I7" s="8">
        <f>Table1[[#This Row],[total_devices]]/Table1[[#This Row],[nodes]]</f>
        <v>5</v>
      </c>
    </row>
    <row r="8" spans="1:9" x14ac:dyDescent="0.25">
      <c r="A8" s="4" t="s">
        <v>1</v>
      </c>
      <c r="B8" s="5" t="s">
        <v>1</v>
      </c>
      <c r="C8" s="6">
        <v>1</v>
      </c>
      <c r="D8" s="6">
        <v>6</v>
      </c>
      <c r="E8" s="6">
        <v>1</v>
      </c>
      <c r="F8" s="7">
        <f>Table1[[#This Row],[MPI_ranks_per_node]]*Table1[[#This Row],[nodes]]</f>
        <v>6</v>
      </c>
      <c r="G8" s="7">
        <f>Table1[[#This Row],[total_MPI_ranks]]*Table1[[#This Row],[OpenMP_threads_per_rank]]</f>
        <v>6</v>
      </c>
      <c r="H8" s="7">
        <f>Table1[[#This Row],[OpenMP_threads_per_rank]]*Table1[[#This Row],[MPI_ranks_per_node]]*Table1[[#This Row],[nodes]]</f>
        <v>6</v>
      </c>
      <c r="I8" s="8">
        <f>Table1[[#This Row],[total_devices]]/Table1[[#This Row],[nodes]]</f>
        <v>6</v>
      </c>
    </row>
    <row r="9" spans="1:9" x14ac:dyDescent="0.25">
      <c r="A9" s="4" t="s">
        <v>1</v>
      </c>
      <c r="B9" s="5" t="s">
        <v>1</v>
      </c>
      <c r="C9" s="6">
        <v>1</v>
      </c>
      <c r="D9" s="6">
        <v>7</v>
      </c>
      <c r="E9" s="6">
        <v>1</v>
      </c>
      <c r="F9" s="7">
        <f>Table1[[#This Row],[MPI_ranks_per_node]]*Table1[[#This Row],[nodes]]</f>
        <v>7</v>
      </c>
      <c r="G9" s="7">
        <f>Table1[[#This Row],[total_MPI_ranks]]*Table1[[#This Row],[OpenMP_threads_per_rank]]</f>
        <v>7</v>
      </c>
      <c r="H9" s="7">
        <f>Table1[[#This Row],[OpenMP_threads_per_rank]]*Table1[[#This Row],[MPI_ranks_per_node]]*Table1[[#This Row],[nodes]]</f>
        <v>7</v>
      </c>
      <c r="I9" s="8">
        <f>Table1[[#This Row],[total_devices]]/Table1[[#This Row],[nodes]]</f>
        <v>7</v>
      </c>
    </row>
    <row r="10" spans="1:9" x14ac:dyDescent="0.25">
      <c r="A10" s="4" t="s">
        <v>1</v>
      </c>
      <c r="B10" s="5" t="s">
        <v>1</v>
      </c>
      <c r="C10" s="6">
        <v>1</v>
      </c>
      <c r="D10" s="6">
        <v>8</v>
      </c>
      <c r="E10" s="6">
        <v>1</v>
      </c>
      <c r="F10" s="7">
        <f>Table1[[#This Row],[MPI_ranks_per_node]]*Table1[[#This Row],[nodes]]</f>
        <v>8</v>
      </c>
      <c r="G10" s="7">
        <f>Table1[[#This Row],[total_MPI_ranks]]*Table1[[#This Row],[OpenMP_threads_per_rank]]</f>
        <v>8</v>
      </c>
      <c r="H10" s="7">
        <f>Table1[[#This Row],[OpenMP_threads_per_rank]]*Table1[[#This Row],[MPI_ranks_per_node]]*Table1[[#This Row],[nodes]]</f>
        <v>8</v>
      </c>
      <c r="I10" s="8">
        <f>Table1[[#This Row],[total_devices]]/Table1[[#This Row],[nodes]]</f>
        <v>8</v>
      </c>
    </row>
    <row r="11" spans="1:9" x14ac:dyDescent="0.25">
      <c r="A11" s="4" t="s">
        <v>1</v>
      </c>
      <c r="B11" s="5" t="s">
        <v>1</v>
      </c>
      <c r="C11" s="6">
        <v>2</v>
      </c>
      <c r="D11" s="6">
        <v>8</v>
      </c>
      <c r="E11" s="6">
        <v>1</v>
      </c>
      <c r="F11" s="7">
        <f>Table1[[#This Row],[MPI_ranks_per_node]]*Table1[[#This Row],[nodes]]</f>
        <v>16</v>
      </c>
      <c r="G11" s="7">
        <f>Table1[[#This Row],[total_MPI_ranks]]*Table1[[#This Row],[OpenMP_threads_per_rank]]</f>
        <v>16</v>
      </c>
      <c r="H11" s="7">
        <f>Table1[[#This Row],[OpenMP_threads_per_rank]]*Table1[[#This Row],[MPI_ranks_per_node]]*Table1[[#This Row],[nodes]]</f>
        <v>16</v>
      </c>
      <c r="I11" s="8">
        <f>Table1[[#This Row],[total_devices]]/Table1[[#This Row],[nodes]]</f>
        <v>8</v>
      </c>
    </row>
    <row r="12" spans="1:9" x14ac:dyDescent="0.25">
      <c r="A12" s="4" t="s">
        <v>1</v>
      </c>
      <c r="B12" s="5" t="s">
        <v>1</v>
      </c>
      <c r="C12" s="6">
        <v>4</v>
      </c>
      <c r="D12" s="6">
        <v>8</v>
      </c>
      <c r="E12" s="6">
        <v>1</v>
      </c>
      <c r="F12" s="7">
        <f>Table1[[#This Row],[MPI_ranks_per_node]]*Table1[[#This Row],[nodes]]</f>
        <v>32</v>
      </c>
      <c r="G12" s="7">
        <f>Table1[[#This Row],[total_MPI_ranks]]*Table1[[#This Row],[OpenMP_threads_per_rank]]</f>
        <v>32</v>
      </c>
      <c r="H12" s="7">
        <f>Table1[[#This Row],[OpenMP_threads_per_rank]]*Table1[[#This Row],[MPI_ranks_per_node]]*Table1[[#This Row],[nodes]]</f>
        <v>32</v>
      </c>
      <c r="I12" s="8">
        <f>Table1[[#This Row],[total_devices]]/Table1[[#This Row],[nodes]]</f>
        <v>8</v>
      </c>
    </row>
    <row r="13" spans="1:9" x14ac:dyDescent="0.25">
      <c r="A13" s="4" t="s">
        <v>1</v>
      </c>
      <c r="B13" s="5" t="s">
        <v>1</v>
      </c>
      <c r="C13" s="6">
        <v>8</v>
      </c>
      <c r="D13" s="6">
        <v>8</v>
      </c>
      <c r="E13" s="6">
        <v>1</v>
      </c>
      <c r="F13" s="7">
        <f>Table1[[#This Row],[MPI_ranks_per_node]]*Table1[[#This Row],[nodes]]</f>
        <v>64</v>
      </c>
      <c r="G13" s="7">
        <f>Table1[[#This Row],[total_MPI_ranks]]*Table1[[#This Row],[OpenMP_threads_per_rank]]</f>
        <v>64</v>
      </c>
      <c r="H13" s="7">
        <f>Table1[[#This Row],[OpenMP_threads_per_rank]]*Table1[[#This Row],[MPI_ranks_per_node]]*Table1[[#This Row],[nodes]]</f>
        <v>64</v>
      </c>
      <c r="I13" s="8">
        <f>Table1[[#This Row],[total_devices]]/Table1[[#This Row],[nodes]]</f>
        <v>8</v>
      </c>
    </row>
    <row r="14" spans="1:9" x14ac:dyDescent="0.25">
      <c r="A14" s="4" t="s">
        <v>6</v>
      </c>
      <c r="B14" s="5" t="s">
        <v>0</v>
      </c>
      <c r="C14" s="6">
        <v>1</v>
      </c>
      <c r="D14" s="6">
        <v>2</v>
      </c>
      <c r="E14" s="6">
        <v>2</v>
      </c>
      <c r="F14" s="7">
        <f>Table1[[#This Row],[MPI_ranks_per_node]]*Table1[[#This Row],[nodes]]</f>
        <v>2</v>
      </c>
      <c r="G14" s="7">
        <f>Table1[[#This Row],[total_MPI_ranks]]*Table1[[#This Row],[OpenMP_threads_per_rank]]</f>
        <v>4</v>
      </c>
      <c r="H14" s="7">
        <f>Table1[[#This Row],[OpenMP_threads_per_rank]]*Table1[[#This Row],[MPI_ranks_per_node]]*Table1[[#This Row],[nodes]]</f>
        <v>4</v>
      </c>
      <c r="I14" s="8">
        <f>Table1[[#This Row],[total_devices]]/Table1[[#This Row],[nodes]]</f>
        <v>4</v>
      </c>
    </row>
    <row r="15" spans="1:9" x14ac:dyDescent="0.25">
      <c r="A15" s="4" t="s">
        <v>6</v>
      </c>
      <c r="B15" s="5" t="s">
        <v>0</v>
      </c>
      <c r="C15" s="6">
        <v>1</v>
      </c>
      <c r="D15" s="6">
        <v>2</v>
      </c>
      <c r="E15" s="6">
        <v>4</v>
      </c>
      <c r="F15" s="7">
        <f>Table1[[#This Row],[MPI_ranks_per_node]]*Table1[[#This Row],[nodes]]</f>
        <v>2</v>
      </c>
      <c r="G15" s="7">
        <f>Table1[[#This Row],[total_MPI_ranks]]*Table1[[#This Row],[OpenMP_threads_per_rank]]</f>
        <v>8</v>
      </c>
      <c r="H15" s="7">
        <f>Table1[[#This Row],[OpenMP_threads_per_rank]]*Table1[[#This Row],[MPI_ranks_per_node]]*Table1[[#This Row],[nodes]]</f>
        <v>8</v>
      </c>
      <c r="I15" s="8">
        <f>Table1[[#This Row],[total_devices]]/Table1[[#This Row],[nodes]]</f>
        <v>8</v>
      </c>
    </row>
    <row r="16" spans="1:9" x14ac:dyDescent="0.25">
      <c r="A16" s="4" t="s">
        <v>6</v>
      </c>
      <c r="B16" s="5" t="s">
        <v>0</v>
      </c>
      <c r="C16" s="6">
        <v>1</v>
      </c>
      <c r="D16" s="6">
        <v>4</v>
      </c>
      <c r="E16" s="6">
        <v>2</v>
      </c>
      <c r="F16" s="7">
        <f>Table1[[#This Row],[MPI_ranks_per_node]]*Table1[[#This Row],[nodes]]</f>
        <v>4</v>
      </c>
      <c r="G16" s="7">
        <f>Table1[[#This Row],[total_MPI_ranks]]*Table1[[#This Row],[OpenMP_threads_per_rank]]</f>
        <v>8</v>
      </c>
      <c r="H16" s="7">
        <f>Table1[[#This Row],[OpenMP_threads_per_rank]]*Table1[[#This Row],[MPI_ranks_per_node]]*Table1[[#This Row],[nodes]]</f>
        <v>8</v>
      </c>
      <c r="I16" s="8">
        <f>Table1[[#This Row],[total_devices]]/Table1[[#This Row],[nodes]]</f>
        <v>8</v>
      </c>
    </row>
    <row r="17" spans="1:9" x14ac:dyDescent="0.25">
      <c r="A17" s="4" t="s">
        <v>6</v>
      </c>
      <c r="B17" s="5" t="s">
        <v>0</v>
      </c>
      <c r="C17" s="6">
        <v>1</v>
      </c>
      <c r="D17" s="6">
        <v>4</v>
      </c>
      <c r="E17" s="6">
        <v>4</v>
      </c>
      <c r="F17" s="7">
        <f>Table1[[#This Row],[MPI_ranks_per_node]]*Table1[[#This Row],[nodes]]</f>
        <v>4</v>
      </c>
      <c r="G17" s="7">
        <f>Table1[[#This Row],[total_MPI_ranks]]*Table1[[#This Row],[OpenMP_threads_per_rank]]</f>
        <v>16</v>
      </c>
      <c r="H17" s="7">
        <f>Table1[[#This Row],[OpenMP_threads_per_rank]]*Table1[[#This Row],[MPI_ranks_per_node]]*Table1[[#This Row],[nodes]]</f>
        <v>16</v>
      </c>
      <c r="I17" s="8">
        <f>Table1[[#This Row],[total_devices]]/Table1[[#This Row],[nodes]]</f>
        <v>16</v>
      </c>
    </row>
    <row r="18" spans="1:9" x14ac:dyDescent="0.25">
      <c r="A18" s="4" t="s">
        <v>6</v>
      </c>
      <c r="B18" s="5" t="s">
        <v>0</v>
      </c>
      <c r="C18" s="6">
        <v>1</v>
      </c>
      <c r="D18" s="6">
        <v>2</v>
      </c>
      <c r="E18" s="6">
        <v>8</v>
      </c>
      <c r="F18" s="7">
        <f>Table1[[#This Row],[MPI_ranks_per_node]]*Table1[[#This Row],[nodes]]</f>
        <v>2</v>
      </c>
      <c r="G18" s="7">
        <f>Table1[[#This Row],[total_MPI_ranks]]*Table1[[#This Row],[OpenMP_threads_per_rank]]</f>
        <v>16</v>
      </c>
      <c r="H18" s="7">
        <f>Table1[[#This Row],[OpenMP_threads_per_rank]]*Table1[[#This Row],[MPI_ranks_per_node]]*Table1[[#This Row],[nodes]]</f>
        <v>16</v>
      </c>
      <c r="I18" s="8">
        <f>Table1[[#This Row],[total_devices]]/Table1[[#This Row],[nodes]]</f>
        <v>16</v>
      </c>
    </row>
    <row r="19" spans="1:9" x14ac:dyDescent="0.25">
      <c r="A19" s="4" t="s">
        <v>6</v>
      </c>
      <c r="B19" s="5" t="s">
        <v>0</v>
      </c>
      <c r="C19" s="6">
        <v>1</v>
      </c>
      <c r="D19" s="6">
        <v>8</v>
      </c>
      <c r="E19" s="6">
        <v>2</v>
      </c>
      <c r="F19" s="7">
        <f>Table1[[#This Row],[MPI_ranks_per_node]]*Table1[[#This Row],[nodes]]</f>
        <v>8</v>
      </c>
      <c r="G19" s="7">
        <f>Table1[[#This Row],[total_MPI_ranks]]*Table1[[#This Row],[OpenMP_threads_per_rank]]</f>
        <v>16</v>
      </c>
      <c r="H19" s="7">
        <f>Table1[[#This Row],[OpenMP_threads_per_rank]]*Table1[[#This Row],[MPI_ranks_per_node]]*Table1[[#This Row],[nodes]]</f>
        <v>16</v>
      </c>
      <c r="I19" s="8">
        <f>Table1[[#This Row],[total_devices]]/Table1[[#This Row],[nodes]]</f>
        <v>16</v>
      </c>
    </row>
    <row r="20" spans="1:9" x14ac:dyDescent="0.25">
      <c r="A20" s="4" t="s">
        <v>6</v>
      </c>
      <c r="B20" s="5" t="s">
        <v>0</v>
      </c>
      <c r="C20" s="6">
        <v>1</v>
      </c>
      <c r="D20" s="6">
        <v>16</v>
      </c>
      <c r="E20" s="6">
        <v>2</v>
      </c>
      <c r="F20" s="7">
        <f>Table1[[#This Row],[MPI_ranks_per_node]]*Table1[[#This Row],[nodes]]</f>
        <v>16</v>
      </c>
      <c r="G20" s="7">
        <f>Table1[[#This Row],[total_MPI_ranks]]*Table1[[#This Row],[OpenMP_threads_per_rank]]</f>
        <v>32</v>
      </c>
      <c r="H20" s="7">
        <f>Table1[[#This Row],[OpenMP_threads_per_rank]]*Table1[[#This Row],[MPI_ranks_per_node]]*Table1[[#This Row],[nodes]]</f>
        <v>32</v>
      </c>
      <c r="I20" s="8">
        <f>Table1[[#This Row],[total_devices]]/Table1[[#This Row],[nodes]]</f>
        <v>32</v>
      </c>
    </row>
    <row r="21" spans="1:9" x14ac:dyDescent="0.25">
      <c r="A21" s="4" t="s">
        <v>6</v>
      </c>
      <c r="B21" s="5" t="s">
        <v>0</v>
      </c>
      <c r="C21" s="6">
        <v>1</v>
      </c>
      <c r="D21" s="6">
        <v>2</v>
      </c>
      <c r="E21" s="6">
        <v>16</v>
      </c>
      <c r="F21" s="7">
        <f>Table1[[#This Row],[MPI_ranks_per_node]]*Table1[[#This Row],[nodes]]</f>
        <v>2</v>
      </c>
      <c r="G21" s="7">
        <f>Table1[[#This Row],[total_MPI_ranks]]*Table1[[#This Row],[OpenMP_threads_per_rank]]</f>
        <v>32</v>
      </c>
      <c r="H21" s="7">
        <f>Table1[[#This Row],[OpenMP_threads_per_rank]]*Table1[[#This Row],[MPI_ranks_per_node]]*Table1[[#This Row],[nodes]]</f>
        <v>32</v>
      </c>
      <c r="I21" s="8">
        <f>Table1[[#This Row],[total_devices]]/Table1[[#This Row],[nodes]]</f>
        <v>32</v>
      </c>
    </row>
    <row r="22" spans="1:9" x14ac:dyDescent="0.25">
      <c r="A22" s="4" t="s">
        <v>6</v>
      </c>
      <c r="B22" s="5" t="s">
        <v>0</v>
      </c>
      <c r="C22" s="6">
        <v>1</v>
      </c>
      <c r="D22" s="6">
        <v>4</v>
      </c>
      <c r="E22" s="6">
        <v>8</v>
      </c>
      <c r="F22" s="7">
        <f>Table1[[#This Row],[MPI_ranks_per_node]]*Table1[[#This Row],[nodes]]</f>
        <v>4</v>
      </c>
      <c r="G22" s="7">
        <f>Table1[[#This Row],[total_MPI_ranks]]*Table1[[#This Row],[OpenMP_threads_per_rank]]</f>
        <v>32</v>
      </c>
      <c r="H22" s="7">
        <f>Table1[[#This Row],[OpenMP_threads_per_rank]]*Table1[[#This Row],[MPI_ranks_per_node]]*Table1[[#This Row],[nodes]]</f>
        <v>32</v>
      </c>
      <c r="I22" s="8">
        <f>Table1[[#This Row],[total_devices]]/Table1[[#This Row],[nodes]]</f>
        <v>32</v>
      </c>
    </row>
    <row r="23" spans="1:9" x14ac:dyDescent="0.25">
      <c r="A23" s="4" t="s">
        <v>6</v>
      </c>
      <c r="B23" s="5" t="s">
        <v>0</v>
      </c>
      <c r="C23" s="6">
        <v>1</v>
      </c>
      <c r="D23" s="6">
        <v>8</v>
      </c>
      <c r="E23" s="6">
        <v>4</v>
      </c>
      <c r="F23" s="7">
        <f>Table1[[#This Row],[MPI_ranks_per_node]]*Table1[[#This Row],[nodes]]</f>
        <v>8</v>
      </c>
      <c r="G23" s="7">
        <f>Table1[[#This Row],[total_MPI_ranks]]*Table1[[#This Row],[OpenMP_threads_per_rank]]</f>
        <v>32</v>
      </c>
      <c r="H23" s="7">
        <f>Table1[[#This Row],[OpenMP_threads_per_rank]]*Table1[[#This Row],[MPI_ranks_per_node]]*Table1[[#This Row],[nodes]]</f>
        <v>32</v>
      </c>
      <c r="I23" s="8">
        <f>Table1[[#This Row],[total_devices]]/Table1[[#This Row],[nodes]]</f>
        <v>32</v>
      </c>
    </row>
    <row r="24" spans="1:9" x14ac:dyDescent="0.25">
      <c r="A24" s="4" t="s">
        <v>6</v>
      </c>
      <c r="B24" s="5" t="s">
        <v>0</v>
      </c>
      <c r="C24" s="6">
        <v>1</v>
      </c>
      <c r="D24" s="6">
        <v>2</v>
      </c>
      <c r="E24" s="6">
        <v>32</v>
      </c>
      <c r="F24" s="7">
        <f>Table1[[#This Row],[MPI_ranks_per_node]]*Table1[[#This Row],[nodes]]</f>
        <v>2</v>
      </c>
      <c r="G24" s="7">
        <f>Table1[[#This Row],[total_MPI_ranks]]*Table1[[#This Row],[OpenMP_threads_per_rank]]</f>
        <v>64</v>
      </c>
      <c r="H24" s="7">
        <f>Table1[[#This Row],[OpenMP_threads_per_rank]]*Table1[[#This Row],[MPI_ranks_per_node]]*Table1[[#This Row],[nodes]]</f>
        <v>64</v>
      </c>
      <c r="I24" s="8">
        <f>Table1[[#This Row],[total_devices]]/Table1[[#This Row],[nodes]]</f>
        <v>64</v>
      </c>
    </row>
    <row r="25" spans="1:9" x14ac:dyDescent="0.25">
      <c r="A25" s="4" t="s">
        <v>6</v>
      </c>
      <c r="B25" s="5" t="s">
        <v>0</v>
      </c>
      <c r="C25" s="6">
        <v>1</v>
      </c>
      <c r="D25" s="6">
        <v>32</v>
      </c>
      <c r="E25" s="6">
        <v>2</v>
      </c>
      <c r="F25" s="7">
        <f>Table1[[#This Row],[MPI_ranks_per_node]]*Table1[[#This Row],[nodes]]</f>
        <v>32</v>
      </c>
      <c r="G25" s="7">
        <f>Table1[[#This Row],[total_MPI_ranks]]*Table1[[#This Row],[OpenMP_threads_per_rank]]</f>
        <v>64</v>
      </c>
      <c r="H25" s="7">
        <f>Table1[[#This Row],[OpenMP_threads_per_rank]]*Table1[[#This Row],[MPI_ranks_per_node]]*Table1[[#This Row],[nodes]]</f>
        <v>64</v>
      </c>
      <c r="I25" s="8">
        <f>Table1[[#This Row],[total_devices]]/Table1[[#This Row],[nodes]]</f>
        <v>64</v>
      </c>
    </row>
    <row r="26" spans="1:9" x14ac:dyDescent="0.25">
      <c r="A26" s="4" t="s">
        <v>6</v>
      </c>
      <c r="B26" s="5" t="s">
        <v>0</v>
      </c>
      <c r="C26" s="6">
        <v>1</v>
      </c>
      <c r="D26" s="6">
        <v>4</v>
      </c>
      <c r="E26" s="6">
        <v>16</v>
      </c>
      <c r="F26" s="7">
        <f>Table1[[#This Row],[MPI_ranks_per_node]]*Table1[[#This Row],[nodes]]</f>
        <v>4</v>
      </c>
      <c r="G26" s="7">
        <f>Table1[[#This Row],[total_MPI_ranks]]*Table1[[#This Row],[OpenMP_threads_per_rank]]</f>
        <v>64</v>
      </c>
      <c r="H26" s="7">
        <f>Table1[[#This Row],[OpenMP_threads_per_rank]]*Table1[[#This Row],[MPI_ranks_per_node]]*Table1[[#This Row],[nodes]]</f>
        <v>64</v>
      </c>
      <c r="I26" s="8">
        <f>Table1[[#This Row],[total_devices]]/Table1[[#This Row],[nodes]]</f>
        <v>64</v>
      </c>
    </row>
    <row r="27" spans="1:9" x14ac:dyDescent="0.25">
      <c r="A27" s="4" t="s">
        <v>6</v>
      </c>
      <c r="B27" s="5" t="s">
        <v>0</v>
      </c>
      <c r="C27" s="6">
        <v>1</v>
      </c>
      <c r="D27" s="6">
        <v>16</v>
      </c>
      <c r="E27" s="6">
        <v>4</v>
      </c>
      <c r="F27" s="7">
        <f>Table1[[#This Row],[MPI_ranks_per_node]]*Table1[[#This Row],[nodes]]</f>
        <v>16</v>
      </c>
      <c r="G27" s="7">
        <f>Table1[[#This Row],[total_MPI_ranks]]*Table1[[#This Row],[OpenMP_threads_per_rank]]</f>
        <v>64</v>
      </c>
      <c r="H27" s="7">
        <f>Table1[[#This Row],[OpenMP_threads_per_rank]]*Table1[[#This Row],[MPI_ranks_per_node]]*Table1[[#This Row],[nodes]]</f>
        <v>64</v>
      </c>
      <c r="I27" s="8">
        <f>Table1[[#This Row],[total_devices]]/Table1[[#This Row],[nodes]]</f>
        <v>64</v>
      </c>
    </row>
    <row r="28" spans="1:9" x14ac:dyDescent="0.25">
      <c r="A28" s="4" t="s">
        <v>6</v>
      </c>
      <c r="B28" s="5" t="s">
        <v>0</v>
      </c>
      <c r="C28" s="6">
        <v>1</v>
      </c>
      <c r="D28" s="6">
        <v>8</v>
      </c>
      <c r="E28" s="6">
        <v>8</v>
      </c>
      <c r="F28" s="7">
        <f>Table1[[#This Row],[MPI_ranks_per_node]]*Table1[[#This Row],[nodes]]</f>
        <v>8</v>
      </c>
      <c r="G28" s="7">
        <f>Table1[[#This Row],[total_MPI_ranks]]*Table1[[#This Row],[OpenMP_threads_per_rank]]</f>
        <v>64</v>
      </c>
      <c r="H28" s="7">
        <f>Table1[[#This Row],[OpenMP_threads_per_rank]]*Table1[[#This Row],[MPI_ranks_per_node]]*Table1[[#This Row],[nodes]]</f>
        <v>64</v>
      </c>
      <c r="I28" s="8">
        <f>Table1[[#This Row],[total_devices]]/Table1[[#This Row],[nodes]]</f>
        <v>64</v>
      </c>
    </row>
    <row r="29" spans="1:9" x14ac:dyDescent="0.25">
      <c r="A29" s="4" t="s">
        <v>6</v>
      </c>
      <c r="B29" s="5" t="s">
        <v>0</v>
      </c>
      <c r="C29" s="6">
        <v>2</v>
      </c>
      <c r="D29" s="6">
        <v>2</v>
      </c>
      <c r="E29" s="6">
        <v>32</v>
      </c>
      <c r="F29" s="7">
        <f>Table1[[#This Row],[MPI_ranks_per_node]]*Table1[[#This Row],[nodes]]</f>
        <v>4</v>
      </c>
      <c r="G29" s="7">
        <f>Table1[[#This Row],[total_MPI_ranks]]*Table1[[#This Row],[OpenMP_threads_per_rank]]</f>
        <v>128</v>
      </c>
      <c r="H29" s="7">
        <f>Table1[[#This Row],[OpenMP_threads_per_rank]]*Table1[[#This Row],[MPI_ranks_per_node]]*Table1[[#This Row],[nodes]]</f>
        <v>128</v>
      </c>
      <c r="I29" s="8">
        <f>Table1[[#This Row],[total_devices]]/Table1[[#This Row],[nodes]]</f>
        <v>64</v>
      </c>
    </row>
    <row r="30" spans="1:9" x14ac:dyDescent="0.25">
      <c r="A30" s="4" t="s">
        <v>6</v>
      </c>
      <c r="B30" s="5" t="s">
        <v>0</v>
      </c>
      <c r="C30" s="6">
        <v>2</v>
      </c>
      <c r="D30" s="6">
        <v>32</v>
      </c>
      <c r="E30" s="6">
        <v>2</v>
      </c>
      <c r="F30" s="7">
        <f>Table1[[#This Row],[MPI_ranks_per_node]]*Table1[[#This Row],[nodes]]</f>
        <v>64</v>
      </c>
      <c r="G30" s="7">
        <f>Table1[[#This Row],[total_MPI_ranks]]*Table1[[#This Row],[OpenMP_threads_per_rank]]</f>
        <v>128</v>
      </c>
      <c r="H30" s="7">
        <f>Table1[[#This Row],[OpenMP_threads_per_rank]]*Table1[[#This Row],[MPI_ranks_per_node]]*Table1[[#This Row],[nodes]]</f>
        <v>128</v>
      </c>
      <c r="I30" s="8">
        <f>Table1[[#This Row],[total_devices]]/Table1[[#This Row],[nodes]]</f>
        <v>64</v>
      </c>
    </row>
    <row r="31" spans="1:9" x14ac:dyDescent="0.25">
      <c r="A31" s="4" t="s">
        <v>6</v>
      </c>
      <c r="B31" s="5" t="s">
        <v>0</v>
      </c>
      <c r="C31" s="6">
        <v>2</v>
      </c>
      <c r="D31" s="6">
        <v>4</v>
      </c>
      <c r="E31" s="6">
        <v>16</v>
      </c>
      <c r="F31" s="7">
        <f>Table1[[#This Row],[MPI_ranks_per_node]]*Table1[[#This Row],[nodes]]</f>
        <v>8</v>
      </c>
      <c r="G31" s="7">
        <f>Table1[[#This Row],[total_MPI_ranks]]*Table1[[#This Row],[OpenMP_threads_per_rank]]</f>
        <v>128</v>
      </c>
      <c r="H31" s="7">
        <f>Table1[[#This Row],[OpenMP_threads_per_rank]]*Table1[[#This Row],[MPI_ranks_per_node]]*Table1[[#This Row],[nodes]]</f>
        <v>128</v>
      </c>
      <c r="I31" s="8">
        <f>Table1[[#This Row],[total_devices]]/Table1[[#This Row],[nodes]]</f>
        <v>64</v>
      </c>
    </row>
    <row r="32" spans="1:9" x14ac:dyDescent="0.25">
      <c r="A32" s="4" t="s">
        <v>6</v>
      </c>
      <c r="B32" s="5" t="s">
        <v>0</v>
      </c>
      <c r="C32" s="6">
        <v>2</v>
      </c>
      <c r="D32" s="6">
        <v>16</v>
      </c>
      <c r="E32" s="6">
        <v>4</v>
      </c>
      <c r="F32" s="7">
        <f>Table1[[#This Row],[MPI_ranks_per_node]]*Table1[[#This Row],[nodes]]</f>
        <v>32</v>
      </c>
      <c r="G32" s="7">
        <f>Table1[[#This Row],[total_MPI_ranks]]*Table1[[#This Row],[OpenMP_threads_per_rank]]</f>
        <v>128</v>
      </c>
      <c r="H32" s="7">
        <f>Table1[[#This Row],[OpenMP_threads_per_rank]]*Table1[[#This Row],[MPI_ranks_per_node]]*Table1[[#This Row],[nodes]]</f>
        <v>128</v>
      </c>
      <c r="I32" s="8">
        <f>Table1[[#This Row],[total_devices]]/Table1[[#This Row],[nodes]]</f>
        <v>64</v>
      </c>
    </row>
    <row r="33" spans="1:9" x14ac:dyDescent="0.25">
      <c r="A33" s="4" t="s">
        <v>6</v>
      </c>
      <c r="B33" s="5" t="s">
        <v>0</v>
      </c>
      <c r="C33" s="6">
        <v>2</v>
      </c>
      <c r="D33" s="6">
        <v>8</v>
      </c>
      <c r="E33" s="6">
        <v>8</v>
      </c>
      <c r="F33" s="7">
        <f>Table1[[#This Row],[MPI_ranks_per_node]]*Table1[[#This Row],[nodes]]</f>
        <v>16</v>
      </c>
      <c r="G33" s="7">
        <f>Table1[[#This Row],[total_MPI_ranks]]*Table1[[#This Row],[OpenMP_threads_per_rank]]</f>
        <v>128</v>
      </c>
      <c r="H33" s="7">
        <f>Table1[[#This Row],[OpenMP_threads_per_rank]]*Table1[[#This Row],[MPI_ranks_per_node]]*Table1[[#This Row],[nodes]]</f>
        <v>128</v>
      </c>
      <c r="I33" s="8">
        <f>Table1[[#This Row],[total_devices]]/Table1[[#This Row],[nodes]]</f>
        <v>64</v>
      </c>
    </row>
    <row r="34" spans="1:9" x14ac:dyDescent="0.25">
      <c r="A34" s="4" t="s">
        <v>6</v>
      </c>
      <c r="B34" s="5" t="s">
        <v>0</v>
      </c>
      <c r="C34" s="6">
        <v>4</v>
      </c>
      <c r="D34" s="6">
        <v>2</v>
      </c>
      <c r="E34" s="6">
        <v>32</v>
      </c>
      <c r="F34" s="7">
        <f>Table1[[#This Row],[MPI_ranks_per_node]]*Table1[[#This Row],[nodes]]</f>
        <v>8</v>
      </c>
      <c r="G34" s="7">
        <f>Table1[[#This Row],[total_MPI_ranks]]*Table1[[#This Row],[OpenMP_threads_per_rank]]</f>
        <v>256</v>
      </c>
      <c r="H34" s="7">
        <f>Table1[[#This Row],[OpenMP_threads_per_rank]]*Table1[[#This Row],[MPI_ranks_per_node]]*Table1[[#This Row],[nodes]]</f>
        <v>256</v>
      </c>
      <c r="I34" s="8">
        <f>Table1[[#This Row],[total_devices]]/Table1[[#This Row],[nodes]]</f>
        <v>64</v>
      </c>
    </row>
    <row r="35" spans="1:9" x14ac:dyDescent="0.25">
      <c r="A35" s="4" t="s">
        <v>6</v>
      </c>
      <c r="B35" s="5" t="s">
        <v>0</v>
      </c>
      <c r="C35" s="6">
        <v>4</v>
      </c>
      <c r="D35" s="6">
        <v>32</v>
      </c>
      <c r="E35" s="6">
        <v>2</v>
      </c>
      <c r="F35" s="7">
        <f>Table1[[#This Row],[MPI_ranks_per_node]]*Table1[[#This Row],[nodes]]</f>
        <v>128</v>
      </c>
      <c r="G35" s="7">
        <f>Table1[[#This Row],[total_MPI_ranks]]*Table1[[#This Row],[OpenMP_threads_per_rank]]</f>
        <v>256</v>
      </c>
      <c r="H35" s="7">
        <f>Table1[[#This Row],[OpenMP_threads_per_rank]]*Table1[[#This Row],[MPI_ranks_per_node]]*Table1[[#This Row],[nodes]]</f>
        <v>256</v>
      </c>
      <c r="I35" s="8">
        <f>Table1[[#This Row],[total_devices]]/Table1[[#This Row],[nodes]]</f>
        <v>64</v>
      </c>
    </row>
    <row r="36" spans="1:9" x14ac:dyDescent="0.25">
      <c r="A36" s="4" t="s">
        <v>6</v>
      </c>
      <c r="B36" s="5" t="s">
        <v>0</v>
      </c>
      <c r="C36" s="6">
        <v>4</v>
      </c>
      <c r="D36" s="6">
        <v>4</v>
      </c>
      <c r="E36" s="6">
        <v>16</v>
      </c>
      <c r="F36" s="7">
        <f>Table1[[#This Row],[MPI_ranks_per_node]]*Table1[[#This Row],[nodes]]</f>
        <v>16</v>
      </c>
      <c r="G36" s="7">
        <f>Table1[[#This Row],[total_MPI_ranks]]*Table1[[#This Row],[OpenMP_threads_per_rank]]</f>
        <v>256</v>
      </c>
      <c r="H36" s="7">
        <f>Table1[[#This Row],[OpenMP_threads_per_rank]]*Table1[[#This Row],[MPI_ranks_per_node]]*Table1[[#This Row],[nodes]]</f>
        <v>256</v>
      </c>
      <c r="I36" s="8">
        <f>Table1[[#This Row],[total_devices]]/Table1[[#This Row],[nodes]]</f>
        <v>64</v>
      </c>
    </row>
    <row r="37" spans="1:9" x14ac:dyDescent="0.25">
      <c r="A37" s="4" t="s">
        <v>6</v>
      </c>
      <c r="B37" s="5" t="s">
        <v>0</v>
      </c>
      <c r="C37" s="6">
        <v>4</v>
      </c>
      <c r="D37" s="6">
        <v>16</v>
      </c>
      <c r="E37" s="6">
        <v>4</v>
      </c>
      <c r="F37" s="7">
        <f>Table1[[#This Row],[MPI_ranks_per_node]]*Table1[[#This Row],[nodes]]</f>
        <v>64</v>
      </c>
      <c r="G37" s="7">
        <f>Table1[[#This Row],[total_MPI_ranks]]*Table1[[#This Row],[OpenMP_threads_per_rank]]</f>
        <v>256</v>
      </c>
      <c r="H37" s="7">
        <f>Table1[[#This Row],[OpenMP_threads_per_rank]]*Table1[[#This Row],[MPI_ranks_per_node]]*Table1[[#This Row],[nodes]]</f>
        <v>256</v>
      </c>
      <c r="I37" s="8">
        <f>Table1[[#This Row],[total_devices]]/Table1[[#This Row],[nodes]]</f>
        <v>64</v>
      </c>
    </row>
    <row r="38" spans="1:9" x14ac:dyDescent="0.25">
      <c r="A38" s="4" t="s">
        <v>6</v>
      </c>
      <c r="B38" s="5" t="s">
        <v>0</v>
      </c>
      <c r="C38" s="6">
        <v>4</v>
      </c>
      <c r="D38" s="6">
        <v>8</v>
      </c>
      <c r="E38" s="6">
        <v>8</v>
      </c>
      <c r="F38" s="7">
        <f>Table1[[#This Row],[MPI_ranks_per_node]]*Table1[[#This Row],[nodes]]</f>
        <v>32</v>
      </c>
      <c r="G38" s="7">
        <f>Table1[[#This Row],[total_MPI_ranks]]*Table1[[#This Row],[OpenMP_threads_per_rank]]</f>
        <v>256</v>
      </c>
      <c r="H38" s="7">
        <f>Table1[[#This Row],[OpenMP_threads_per_rank]]*Table1[[#This Row],[MPI_ranks_per_node]]*Table1[[#This Row],[nodes]]</f>
        <v>256</v>
      </c>
      <c r="I38" s="8">
        <f>Table1[[#This Row],[total_devices]]/Table1[[#This Row],[nodes]]</f>
        <v>64</v>
      </c>
    </row>
    <row r="39" spans="1:9" x14ac:dyDescent="0.25">
      <c r="A39" s="4" t="s">
        <v>6</v>
      </c>
      <c r="B39" s="5" t="s">
        <v>0</v>
      </c>
      <c r="C39" s="6">
        <v>8</v>
      </c>
      <c r="D39" s="6">
        <v>2</v>
      </c>
      <c r="E39" s="6">
        <v>32</v>
      </c>
      <c r="F39" s="7">
        <f>Table1[[#This Row],[MPI_ranks_per_node]]*Table1[[#This Row],[nodes]]</f>
        <v>16</v>
      </c>
      <c r="G39" s="7">
        <f>Table1[[#This Row],[total_MPI_ranks]]*Table1[[#This Row],[OpenMP_threads_per_rank]]</f>
        <v>512</v>
      </c>
      <c r="H39" s="7">
        <f>Table1[[#This Row],[OpenMP_threads_per_rank]]*Table1[[#This Row],[MPI_ranks_per_node]]*Table1[[#This Row],[nodes]]</f>
        <v>512</v>
      </c>
      <c r="I39" s="8">
        <f>Table1[[#This Row],[total_devices]]/Table1[[#This Row],[nodes]]</f>
        <v>64</v>
      </c>
    </row>
    <row r="40" spans="1:9" x14ac:dyDescent="0.25">
      <c r="A40" s="4" t="s">
        <v>6</v>
      </c>
      <c r="B40" s="5" t="s">
        <v>0</v>
      </c>
      <c r="C40" s="6">
        <v>8</v>
      </c>
      <c r="D40" s="6">
        <v>32</v>
      </c>
      <c r="E40" s="6">
        <v>2</v>
      </c>
      <c r="F40" s="7">
        <f>Table1[[#This Row],[MPI_ranks_per_node]]*Table1[[#This Row],[nodes]]</f>
        <v>256</v>
      </c>
      <c r="G40" s="7">
        <f>Table1[[#This Row],[total_MPI_ranks]]*Table1[[#This Row],[OpenMP_threads_per_rank]]</f>
        <v>512</v>
      </c>
      <c r="H40" s="7">
        <f>Table1[[#This Row],[OpenMP_threads_per_rank]]*Table1[[#This Row],[MPI_ranks_per_node]]*Table1[[#This Row],[nodes]]</f>
        <v>512</v>
      </c>
      <c r="I40" s="8">
        <f>Table1[[#This Row],[total_devices]]/Table1[[#This Row],[nodes]]</f>
        <v>64</v>
      </c>
    </row>
    <row r="41" spans="1:9" x14ac:dyDescent="0.25">
      <c r="A41" s="4" t="s">
        <v>6</v>
      </c>
      <c r="B41" s="5" t="s">
        <v>0</v>
      </c>
      <c r="C41" s="6">
        <v>8</v>
      </c>
      <c r="D41" s="6">
        <v>4</v>
      </c>
      <c r="E41" s="6">
        <v>16</v>
      </c>
      <c r="F41" s="7">
        <f>Table1[[#This Row],[MPI_ranks_per_node]]*Table1[[#This Row],[nodes]]</f>
        <v>32</v>
      </c>
      <c r="G41" s="7">
        <f>Table1[[#This Row],[total_MPI_ranks]]*Table1[[#This Row],[OpenMP_threads_per_rank]]</f>
        <v>512</v>
      </c>
      <c r="H41" s="7">
        <f>Table1[[#This Row],[OpenMP_threads_per_rank]]*Table1[[#This Row],[MPI_ranks_per_node]]*Table1[[#This Row],[nodes]]</f>
        <v>512</v>
      </c>
      <c r="I41" s="8">
        <f>Table1[[#This Row],[total_devices]]/Table1[[#This Row],[nodes]]</f>
        <v>64</v>
      </c>
    </row>
    <row r="42" spans="1:9" x14ac:dyDescent="0.25">
      <c r="A42" s="4" t="s">
        <v>6</v>
      </c>
      <c r="B42" s="5" t="s">
        <v>0</v>
      </c>
      <c r="C42" s="6">
        <v>8</v>
      </c>
      <c r="D42" s="6">
        <v>16</v>
      </c>
      <c r="E42" s="6">
        <v>4</v>
      </c>
      <c r="F42" s="7">
        <f>Table1[[#This Row],[MPI_ranks_per_node]]*Table1[[#This Row],[nodes]]</f>
        <v>128</v>
      </c>
      <c r="G42" s="7">
        <f>Table1[[#This Row],[total_MPI_ranks]]*Table1[[#This Row],[OpenMP_threads_per_rank]]</f>
        <v>512</v>
      </c>
      <c r="H42" s="7">
        <f>Table1[[#This Row],[OpenMP_threads_per_rank]]*Table1[[#This Row],[MPI_ranks_per_node]]*Table1[[#This Row],[nodes]]</f>
        <v>512</v>
      </c>
      <c r="I42" s="8">
        <f>Table1[[#This Row],[total_devices]]/Table1[[#This Row],[nodes]]</f>
        <v>64</v>
      </c>
    </row>
    <row r="43" spans="1:9" x14ac:dyDescent="0.25">
      <c r="A43" s="4" t="s">
        <v>6</v>
      </c>
      <c r="B43" s="5" t="s">
        <v>0</v>
      </c>
      <c r="C43" s="6">
        <v>8</v>
      </c>
      <c r="D43" s="6">
        <v>8</v>
      </c>
      <c r="E43" s="6">
        <v>8</v>
      </c>
      <c r="F43" s="7">
        <f>Table1[[#This Row],[MPI_ranks_per_node]]*Table1[[#This Row],[nodes]]</f>
        <v>64</v>
      </c>
      <c r="G43" s="7">
        <f>Table1[[#This Row],[total_MPI_ranks]]*Table1[[#This Row],[OpenMP_threads_per_rank]]</f>
        <v>512</v>
      </c>
      <c r="H43" s="7">
        <f>Table1[[#This Row],[OpenMP_threads_per_rank]]*Table1[[#This Row],[MPI_ranks_per_node]]*Table1[[#This Row],[nodes]]</f>
        <v>512</v>
      </c>
      <c r="I43" s="8">
        <f>Table1[[#This Row],[total_devices]]/Table1[[#This Row],[nodes]]</f>
        <v>64</v>
      </c>
    </row>
    <row r="44" spans="1:9" x14ac:dyDescent="0.25">
      <c r="A44" s="4" t="s">
        <v>5</v>
      </c>
      <c r="B44" s="5" t="s">
        <v>0</v>
      </c>
      <c r="C44" s="6">
        <v>1</v>
      </c>
      <c r="D44" s="6">
        <v>2</v>
      </c>
      <c r="E44" s="6">
        <v>1</v>
      </c>
      <c r="F44" s="7">
        <f>Table1[[#This Row],[MPI_ranks_per_node]]*Table1[[#This Row],[nodes]]</f>
        <v>2</v>
      </c>
      <c r="G44" s="7">
        <f>Table1[[#This Row],[total_MPI_ranks]]*Table1[[#This Row],[OpenMP_threads_per_rank]]</f>
        <v>2</v>
      </c>
      <c r="H44" s="7">
        <f>Table1[[#This Row],[OpenMP_threads_per_rank]]*Table1[[#This Row],[MPI_ranks_per_node]]*Table1[[#This Row],[nodes]]</f>
        <v>2</v>
      </c>
      <c r="I44" s="9">
        <f>Table1[[#This Row],[total_devices]]/Table1[[#This Row],[nodes]]</f>
        <v>2</v>
      </c>
    </row>
    <row r="45" spans="1:9" x14ac:dyDescent="0.25">
      <c r="A45" s="4" t="s">
        <v>5</v>
      </c>
      <c r="B45" s="5" t="s">
        <v>0</v>
      </c>
      <c r="C45" s="6">
        <v>1</v>
      </c>
      <c r="D45" s="6">
        <v>4</v>
      </c>
      <c r="E45" s="6">
        <v>1</v>
      </c>
      <c r="F45" s="7">
        <f>Table1[[#This Row],[MPI_ranks_per_node]]*Table1[[#This Row],[nodes]]</f>
        <v>4</v>
      </c>
      <c r="G45" s="7">
        <f>Table1[[#This Row],[total_MPI_ranks]]*Table1[[#This Row],[OpenMP_threads_per_rank]]</f>
        <v>4</v>
      </c>
      <c r="H45" s="7">
        <f>Table1[[#This Row],[OpenMP_threads_per_rank]]*Table1[[#This Row],[MPI_ranks_per_node]]*Table1[[#This Row],[nodes]]</f>
        <v>4</v>
      </c>
      <c r="I45" s="9">
        <f>Table1[[#This Row],[total_devices]]/Table1[[#This Row],[nodes]]</f>
        <v>4</v>
      </c>
    </row>
    <row r="46" spans="1:9" x14ac:dyDescent="0.25">
      <c r="A46" s="4" t="s">
        <v>5</v>
      </c>
      <c r="B46" s="5" t="s">
        <v>0</v>
      </c>
      <c r="C46" s="6">
        <v>1</v>
      </c>
      <c r="D46" s="6">
        <v>8</v>
      </c>
      <c r="E46" s="6">
        <v>1</v>
      </c>
      <c r="F46" s="7">
        <f>Table1[[#This Row],[MPI_ranks_per_node]]*Table1[[#This Row],[nodes]]</f>
        <v>8</v>
      </c>
      <c r="G46" s="7">
        <f>Table1[[#This Row],[total_MPI_ranks]]*Table1[[#This Row],[OpenMP_threads_per_rank]]</f>
        <v>8</v>
      </c>
      <c r="H46" s="7">
        <f>Table1[[#This Row],[OpenMP_threads_per_rank]]*Table1[[#This Row],[MPI_ranks_per_node]]*Table1[[#This Row],[nodes]]</f>
        <v>8</v>
      </c>
      <c r="I46" s="9">
        <f>Table1[[#This Row],[total_devices]]/Table1[[#This Row],[nodes]]</f>
        <v>8</v>
      </c>
    </row>
    <row r="47" spans="1:9" x14ac:dyDescent="0.25">
      <c r="A47" s="4" t="s">
        <v>5</v>
      </c>
      <c r="B47" s="5" t="s">
        <v>0</v>
      </c>
      <c r="C47" s="6">
        <v>1</v>
      </c>
      <c r="D47" s="6">
        <v>16</v>
      </c>
      <c r="E47" s="6">
        <v>1</v>
      </c>
      <c r="F47" s="7">
        <f>Table1[[#This Row],[MPI_ranks_per_node]]*Table1[[#This Row],[nodes]]</f>
        <v>16</v>
      </c>
      <c r="G47" s="7">
        <f>Table1[[#This Row],[total_MPI_ranks]]*Table1[[#This Row],[OpenMP_threads_per_rank]]</f>
        <v>16</v>
      </c>
      <c r="H47" s="7">
        <f>Table1[[#This Row],[OpenMP_threads_per_rank]]*Table1[[#This Row],[MPI_ranks_per_node]]*Table1[[#This Row],[nodes]]</f>
        <v>16</v>
      </c>
      <c r="I47" s="9">
        <f>Table1[[#This Row],[total_devices]]/Table1[[#This Row],[nodes]]</f>
        <v>16</v>
      </c>
    </row>
    <row r="48" spans="1:9" x14ac:dyDescent="0.25">
      <c r="A48" s="4" t="s">
        <v>5</v>
      </c>
      <c r="B48" s="5" t="s">
        <v>0</v>
      </c>
      <c r="C48" s="6">
        <v>1</v>
      </c>
      <c r="D48" s="6">
        <v>32</v>
      </c>
      <c r="E48" s="6">
        <v>1</v>
      </c>
      <c r="F48" s="7">
        <f>Table1[[#This Row],[MPI_ranks_per_node]]*Table1[[#This Row],[nodes]]</f>
        <v>32</v>
      </c>
      <c r="G48" s="7">
        <f>Table1[[#This Row],[total_MPI_ranks]]*Table1[[#This Row],[OpenMP_threads_per_rank]]</f>
        <v>32</v>
      </c>
      <c r="H48" s="7">
        <f>Table1[[#This Row],[OpenMP_threads_per_rank]]*Table1[[#This Row],[MPI_ranks_per_node]]*Table1[[#This Row],[nodes]]</f>
        <v>32</v>
      </c>
      <c r="I48" s="9">
        <f>Table1[[#This Row],[total_devices]]/Table1[[#This Row],[nodes]]</f>
        <v>32</v>
      </c>
    </row>
    <row r="49" spans="1:9" x14ac:dyDescent="0.25">
      <c r="A49" s="4" t="s">
        <v>5</v>
      </c>
      <c r="B49" s="5" t="s">
        <v>0</v>
      </c>
      <c r="C49" s="6">
        <v>1</v>
      </c>
      <c r="D49" s="6">
        <v>64</v>
      </c>
      <c r="E49" s="6">
        <v>1</v>
      </c>
      <c r="F49" s="7">
        <f>Table1[[#This Row],[MPI_ranks_per_node]]*Table1[[#This Row],[nodes]]</f>
        <v>64</v>
      </c>
      <c r="G49" s="7">
        <f>Table1[[#This Row],[total_MPI_ranks]]*Table1[[#This Row],[OpenMP_threads_per_rank]]</f>
        <v>64</v>
      </c>
      <c r="H49" s="7">
        <f>Table1[[#This Row],[OpenMP_threads_per_rank]]*Table1[[#This Row],[MPI_ranks_per_node]]*Table1[[#This Row],[nodes]]</f>
        <v>64</v>
      </c>
      <c r="I49" s="9">
        <f>Table1[[#This Row],[total_devices]]/Table1[[#This Row],[nodes]]</f>
        <v>64</v>
      </c>
    </row>
    <row r="50" spans="1:9" x14ac:dyDescent="0.25">
      <c r="A50" s="4" t="s">
        <v>5</v>
      </c>
      <c r="B50" s="5" t="s">
        <v>0</v>
      </c>
      <c r="C50" s="6">
        <v>2</v>
      </c>
      <c r="D50" s="6">
        <v>64</v>
      </c>
      <c r="E50" s="6">
        <v>1</v>
      </c>
      <c r="F50" s="7">
        <f>Table1[[#This Row],[MPI_ranks_per_node]]*Table1[[#This Row],[nodes]]</f>
        <v>128</v>
      </c>
      <c r="G50" s="7">
        <f>Table1[[#This Row],[total_MPI_ranks]]*Table1[[#This Row],[OpenMP_threads_per_rank]]</f>
        <v>128</v>
      </c>
      <c r="H50" s="7">
        <f>Table1[[#This Row],[OpenMP_threads_per_rank]]*Table1[[#This Row],[MPI_ranks_per_node]]*Table1[[#This Row],[nodes]]</f>
        <v>128</v>
      </c>
      <c r="I50" s="9">
        <f>Table1[[#This Row],[total_devices]]/Table1[[#This Row],[nodes]]</f>
        <v>64</v>
      </c>
    </row>
    <row r="51" spans="1:9" x14ac:dyDescent="0.25">
      <c r="A51" s="4" t="s">
        <v>5</v>
      </c>
      <c r="B51" s="5" t="s">
        <v>0</v>
      </c>
      <c r="C51" s="6">
        <v>4</v>
      </c>
      <c r="D51" s="6">
        <v>64</v>
      </c>
      <c r="E51" s="6">
        <v>1</v>
      </c>
      <c r="F51" s="7">
        <f>Table1[[#This Row],[MPI_ranks_per_node]]*Table1[[#This Row],[nodes]]</f>
        <v>256</v>
      </c>
      <c r="G51" s="7">
        <f>Table1[[#This Row],[total_MPI_ranks]]*Table1[[#This Row],[OpenMP_threads_per_rank]]</f>
        <v>256</v>
      </c>
      <c r="H51" s="7">
        <f>Table1[[#This Row],[OpenMP_threads_per_rank]]*Table1[[#This Row],[MPI_ranks_per_node]]*Table1[[#This Row],[nodes]]</f>
        <v>256</v>
      </c>
      <c r="I51" s="9">
        <f>Table1[[#This Row],[total_devices]]/Table1[[#This Row],[nodes]]</f>
        <v>64</v>
      </c>
    </row>
    <row r="52" spans="1:9" x14ac:dyDescent="0.25">
      <c r="A52" s="4" t="s">
        <v>5</v>
      </c>
      <c r="B52" s="5" t="s">
        <v>0</v>
      </c>
      <c r="C52" s="6">
        <v>8</v>
      </c>
      <c r="D52" s="6">
        <v>64</v>
      </c>
      <c r="E52" s="6">
        <v>1</v>
      </c>
      <c r="F52" s="7">
        <f>Table1[[#This Row],[MPI_ranks_per_node]]*Table1[[#This Row],[nodes]]</f>
        <v>512</v>
      </c>
      <c r="G52" s="7">
        <f>Table1[[#This Row],[total_MPI_ranks]]*Table1[[#This Row],[OpenMP_threads_per_rank]]</f>
        <v>512</v>
      </c>
      <c r="H52" s="7">
        <f>Table1[[#This Row],[OpenMP_threads_per_rank]]*Table1[[#This Row],[MPI_ranks_per_node]]*Table1[[#This Row],[nodes]]</f>
        <v>512</v>
      </c>
      <c r="I52" s="9">
        <f>Table1[[#This Row],[total_devices]]/Table1[[#This Row],[nodes]]</f>
        <v>64</v>
      </c>
    </row>
    <row r="53" spans="1:9" x14ac:dyDescent="0.25">
      <c r="A53" s="4" t="s">
        <v>4</v>
      </c>
      <c r="B53" s="5" t="s">
        <v>0</v>
      </c>
      <c r="C53" s="6">
        <v>1</v>
      </c>
      <c r="D53" s="6">
        <v>1</v>
      </c>
      <c r="E53" s="6">
        <v>2</v>
      </c>
      <c r="F53" s="7">
        <f>Table1[[#This Row],[MPI_ranks_per_node]]*Table1[[#This Row],[nodes]]</f>
        <v>1</v>
      </c>
      <c r="G53" s="7">
        <f>Table1[[#This Row],[total_MPI_ranks]]*Table1[[#This Row],[OpenMP_threads_per_rank]]</f>
        <v>2</v>
      </c>
      <c r="H53" s="7">
        <f>Table1[[#This Row],[OpenMP_threads_per_rank]]*Table1[[#This Row],[MPI_ranks_per_node]]*Table1[[#This Row],[nodes]]</f>
        <v>2</v>
      </c>
      <c r="I53" s="9">
        <f>Table1[[#This Row],[total_devices]]/Table1[[#This Row],[nodes]]</f>
        <v>2</v>
      </c>
    </row>
    <row r="54" spans="1:9" x14ac:dyDescent="0.25">
      <c r="A54" s="4" t="s">
        <v>4</v>
      </c>
      <c r="B54" s="5" t="s">
        <v>0</v>
      </c>
      <c r="C54" s="6">
        <v>1</v>
      </c>
      <c r="D54" s="6">
        <v>1</v>
      </c>
      <c r="E54" s="6">
        <v>4</v>
      </c>
      <c r="F54" s="7">
        <f>Table1[[#This Row],[MPI_ranks_per_node]]*Table1[[#This Row],[nodes]]</f>
        <v>1</v>
      </c>
      <c r="G54" s="7">
        <f>Table1[[#This Row],[total_MPI_ranks]]*Table1[[#This Row],[OpenMP_threads_per_rank]]</f>
        <v>4</v>
      </c>
      <c r="H54" s="7">
        <f>Table1[[#This Row],[OpenMP_threads_per_rank]]*Table1[[#This Row],[MPI_ranks_per_node]]*Table1[[#This Row],[nodes]]</f>
        <v>4</v>
      </c>
      <c r="I54" s="9">
        <f>Table1[[#This Row],[total_devices]]/Table1[[#This Row],[nodes]]</f>
        <v>4</v>
      </c>
    </row>
    <row r="55" spans="1:9" x14ac:dyDescent="0.25">
      <c r="A55" s="4" t="s">
        <v>4</v>
      </c>
      <c r="B55" s="5" t="s">
        <v>0</v>
      </c>
      <c r="C55" s="6">
        <v>1</v>
      </c>
      <c r="D55" s="6">
        <v>1</v>
      </c>
      <c r="E55" s="6">
        <v>8</v>
      </c>
      <c r="F55" s="7">
        <f>Table1[[#This Row],[MPI_ranks_per_node]]*Table1[[#This Row],[nodes]]</f>
        <v>1</v>
      </c>
      <c r="G55" s="7">
        <f>Table1[[#This Row],[total_MPI_ranks]]*Table1[[#This Row],[OpenMP_threads_per_rank]]</f>
        <v>8</v>
      </c>
      <c r="H55" s="7">
        <f>Table1[[#This Row],[OpenMP_threads_per_rank]]*Table1[[#This Row],[MPI_ranks_per_node]]*Table1[[#This Row],[nodes]]</f>
        <v>8</v>
      </c>
      <c r="I55" s="9">
        <f>Table1[[#This Row],[total_devices]]/Table1[[#This Row],[nodes]]</f>
        <v>8</v>
      </c>
    </row>
    <row r="56" spans="1:9" x14ac:dyDescent="0.25">
      <c r="A56" s="4" t="s">
        <v>4</v>
      </c>
      <c r="B56" s="5" t="s">
        <v>0</v>
      </c>
      <c r="C56" s="6">
        <v>1</v>
      </c>
      <c r="D56" s="6">
        <v>1</v>
      </c>
      <c r="E56" s="6">
        <v>16</v>
      </c>
      <c r="F56" s="7">
        <f>Table1[[#This Row],[MPI_ranks_per_node]]*Table1[[#This Row],[nodes]]</f>
        <v>1</v>
      </c>
      <c r="G56" s="7">
        <f>Table1[[#This Row],[total_MPI_ranks]]*Table1[[#This Row],[OpenMP_threads_per_rank]]</f>
        <v>16</v>
      </c>
      <c r="H56" s="7">
        <f>Table1[[#This Row],[OpenMP_threads_per_rank]]*Table1[[#This Row],[MPI_ranks_per_node]]*Table1[[#This Row],[nodes]]</f>
        <v>16</v>
      </c>
      <c r="I56" s="9">
        <f>Table1[[#This Row],[total_devices]]/Table1[[#This Row],[nodes]]</f>
        <v>16</v>
      </c>
    </row>
    <row r="57" spans="1:9" x14ac:dyDescent="0.25">
      <c r="A57" s="4" t="s">
        <v>4</v>
      </c>
      <c r="B57" s="5" t="s">
        <v>0</v>
      </c>
      <c r="C57" s="6">
        <v>1</v>
      </c>
      <c r="D57" s="6">
        <v>1</v>
      </c>
      <c r="E57" s="6">
        <v>32</v>
      </c>
      <c r="F57" s="7">
        <f>Table1[[#This Row],[MPI_ranks_per_node]]*Table1[[#This Row],[nodes]]</f>
        <v>1</v>
      </c>
      <c r="G57" s="7">
        <f>Table1[[#This Row],[total_MPI_ranks]]*Table1[[#This Row],[OpenMP_threads_per_rank]]</f>
        <v>32</v>
      </c>
      <c r="H57" s="7">
        <f>Table1[[#This Row],[OpenMP_threads_per_rank]]*Table1[[#This Row],[MPI_ranks_per_node]]*Table1[[#This Row],[nodes]]</f>
        <v>32</v>
      </c>
      <c r="I57" s="9">
        <f>Table1[[#This Row],[total_devices]]/Table1[[#This Row],[nodes]]</f>
        <v>32</v>
      </c>
    </row>
    <row r="58" spans="1:9" x14ac:dyDescent="0.25">
      <c r="A58" s="4" t="s">
        <v>4</v>
      </c>
      <c r="B58" s="5" t="s">
        <v>0</v>
      </c>
      <c r="C58" s="6">
        <v>1</v>
      </c>
      <c r="D58" s="6">
        <v>1</v>
      </c>
      <c r="E58" s="6">
        <v>64</v>
      </c>
      <c r="F58" s="7">
        <f>Table1[[#This Row],[MPI_ranks_per_node]]*Table1[[#This Row],[nodes]]</f>
        <v>1</v>
      </c>
      <c r="G58" s="7">
        <f>Table1[[#This Row],[total_MPI_ranks]]*Table1[[#This Row],[OpenMP_threads_per_rank]]</f>
        <v>64</v>
      </c>
      <c r="H58" s="7">
        <f>Table1[[#This Row],[OpenMP_threads_per_rank]]*Table1[[#This Row],[MPI_ranks_per_node]]*Table1[[#This Row],[nodes]]</f>
        <v>64</v>
      </c>
      <c r="I58" s="9">
        <f>Table1[[#This Row],[total_devices]]/Table1[[#This Row],[nodes]]</f>
        <v>64</v>
      </c>
    </row>
    <row r="59" spans="1:9" x14ac:dyDescent="0.25">
      <c r="A59" s="4" t="s">
        <v>4</v>
      </c>
      <c r="B59" s="5" t="s">
        <v>0</v>
      </c>
      <c r="C59" s="6">
        <v>2</v>
      </c>
      <c r="D59" s="6">
        <v>1</v>
      </c>
      <c r="E59" s="6">
        <v>64</v>
      </c>
      <c r="F59" s="7">
        <f>Table1[[#This Row],[MPI_ranks_per_node]]*Table1[[#This Row],[nodes]]</f>
        <v>2</v>
      </c>
      <c r="G59" s="7">
        <f>Table1[[#This Row],[total_MPI_ranks]]*Table1[[#This Row],[OpenMP_threads_per_rank]]</f>
        <v>128</v>
      </c>
      <c r="H59" s="7">
        <f>Table1[[#This Row],[OpenMP_threads_per_rank]]*Table1[[#This Row],[MPI_ranks_per_node]]*Table1[[#This Row],[nodes]]</f>
        <v>128</v>
      </c>
      <c r="I59" s="8">
        <f>Table1[[#This Row],[total_devices]]/Table1[[#This Row],[nodes]]</f>
        <v>64</v>
      </c>
    </row>
    <row r="60" spans="1:9" x14ac:dyDescent="0.25">
      <c r="A60" s="4" t="s">
        <v>4</v>
      </c>
      <c r="B60" s="5" t="s">
        <v>0</v>
      </c>
      <c r="C60" s="6">
        <v>4</v>
      </c>
      <c r="D60" s="6">
        <v>1</v>
      </c>
      <c r="E60" s="6">
        <v>64</v>
      </c>
      <c r="F60" s="7">
        <f>Table1[[#This Row],[MPI_ranks_per_node]]*Table1[[#This Row],[nodes]]</f>
        <v>4</v>
      </c>
      <c r="G60" s="7">
        <f>Table1[[#This Row],[total_MPI_ranks]]*Table1[[#This Row],[OpenMP_threads_per_rank]]</f>
        <v>256</v>
      </c>
      <c r="H60" s="7">
        <f>Table1[[#This Row],[OpenMP_threads_per_rank]]*Table1[[#This Row],[MPI_ranks_per_node]]*Table1[[#This Row],[nodes]]</f>
        <v>256</v>
      </c>
      <c r="I60" s="8">
        <f>Table1[[#This Row],[total_devices]]/Table1[[#This Row],[nodes]]</f>
        <v>64</v>
      </c>
    </row>
    <row r="61" spans="1:9" x14ac:dyDescent="0.25">
      <c r="A61" s="10" t="s">
        <v>4</v>
      </c>
      <c r="B61" s="11" t="s">
        <v>0</v>
      </c>
      <c r="C61" s="12">
        <v>8</v>
      </c>
      <c r="D61" s="12">
        <v>1</v>
      </c>
      <c r="E61" s="12">
        <v>64</v>
      </c>
      <c r="F61" s="13">
        <f>Table1[[#This Row],[MPI_ranks_per_node]]*Table1[[#This Row],[nodes]]</f>
        <v>8</v>
      </c>
      <c r="G61" s="13">
        <f>Table1[[#This Row],[total_MPI_ranks]]*Table1[[#This Row],[OpenMP_threads_per_rank]]</f>
        <v>512</v>
      </c>
      <c r="H61" s="13">
        <f>Table1[[#This Row],[OpenMP_threads_per_rank]]*Table1[[#This Row],[MPI_ranks_per_node]]*Table1[[#This Row],[nodes]]</f>
        <v>512</v>
      </c>
      <c r="I61" s="14">
        <f>Table1[[#This Row],[total_devices]]/Table1[[#This Row],[nodes]]</f>
        <v>64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Lassiter</dc:creator>
  <cp:lastModifiedBy>Lassiter, Daniel Charles (dcl3nd)</cp:lastModifiedBy>
  <dcterms:created xsi:type="dcterms:W3CDTF">2015-06-05T18:17:20Z</dcterms:created>
  <dcterms:modified xsi:type="dcterms:W3CDTF">2025-12-31T15:06:28Z</dcterms:modified>
</cp:coreProperties>
</file>