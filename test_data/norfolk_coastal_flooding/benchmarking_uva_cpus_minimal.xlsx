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</sheets>
  <calcPr fullCalcOnLoad="1"/>
</workbook>
</file>

<file path=xl/sharedStrings.xml><?xml version="1.0" encoding="utf-8"?>
<sst xmlns="http://schemas.openxmlformats.org/spreadsheetml/2006/main" count="28" uniqueCount="22">
  <si>
    <t>hardware_utilization_strategy</t>
  </si>
  <si>
    <t>device</t>
  </si>
  <si>
    <t>run_mode</t>
  </si>
  <si>
    <t>n_nodes</t>
  </si>
  <si>
    <t>n_mpi_procs</t>
  </si>
  <si>
    <t>n_omp_threads</t>
  </si>
  <si>
    <t>n_gpus</t>
  </si>
  <si>
    <t>total_MPI_ranks</t>
  </si>
  <si>
    <t>total_OpenMP_threads</t>
  </si>
  <si>
    <t>total_devices</t>
  </si>
  <si>
    <t>devices_per_node</t>
  </si>
  <si>
    <t>selected</t>
  </si>
  <si>
    <t>Multi-CPU - MPI</t>
  </si>
  <si>
    <t>CPU</t>
  </si>
  <si>
    <t>mpi</t>
  </si>
  <si>
    <t>true</t>
  </si>
  <si>
    <t>Multi-CPU - OMP</t>
  </si>
  <si>
    <t>openmp</t>
  </si>
  <si>
    <t>Multi-CPU - HYB</t>
  </si>
  <si>
    <t>hybrid</t>
  </si>
  <si>
    <t>Baseline - 1 CPU</t>
  </si>
  <si>
    <t>serial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</si>
</sst>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left"/>
    </xf>
    <xf xfId="0" numFmtId="0" borderId="4" applyBorder="1" fontId="1" applyFont="1" fillId="2" applyFill="1" applyAlignment="1">
      <alignment horizontal="left"/>
    </xf>
    <xf xfId="0" numFmtId="0" borderId="5" applyBorder="1" fontId="1" applyFont="1" fillId="2" applyFill="1" applyAlignment="1">
      <alignment horizontal="left"/>
    </xf>
    <xf xfId="0" numFmtId="0" borderId="5" applyBorder="1" fontId="2" applyFont="1" fillId="3" applyFill="1" applyAlignment="1">
      <alignment horizontal="left"/>
    </xf>
    <xf xfId="0" numFmtId="3" applyNumberFormat="1" borderId="5" applyBorder="1" fontId="2" applyFont="1" fillId="3" applyFill="1" applyAlignment="1">
      <alignment horizontal="right"/>
    </xf>
    <xf xfId="0" numFmtId="3" applyNumberFormat="1" borderId="5" applyBorder="1" fontId="3" applyFont="1" fillId="4" applyFill="1" applyAlignment="1">
      <alignment horizontal="right"/>
    </xf>
    <xf xfId="0" numFmtId="3" applyNumberFormat="1" borderId="6" applyBorder="1" fontId="3" applyFont="1" fillId="4" applyFill="1" applyAlignment="1">
      <alignment horizontal="right"/>
    </xf>
    <xf xfId="0" numFmtId="0" borderId="7" applyBorder="1" fontId="3" applyFont="1" fillId="4" applyFill="1" applyAlignment="1">
      <alignment horizontal="center"/>
    </xf>
    <xf xfId="0" numFmtId="0" borderId="5" applyBorder="1" fontId="3" applyFont="1" fillId="4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L5" displayName="Table1" name="Table1" id="1" totalsRowShown="0">
  <autoFilter ref="A1:L5"/>
  <tableColumns count="12">
    <tableColumn name="hardware_utilization_strategy" id="1"/>
    <tableColumn name="device" id="2"/>
    <tableColumn name="run_mode" id="3"/>
    <tableColumn name="n_nodes" id="4"/>
    <tableColumn name="n_mpi_procs" id="5"/>
    <tableColumn name="n_omp_threads" id="6"/>
    <tableColumn name="n_gpus" id="7"/>
    <tableColumn name="total_MPI_ranks" id="8"/>
    <tableColumn name="total_OpenMP_threads" id="9"/>
    <tableColumn name="total_devices" id="10"/>
    <tableColumn name="devices_per_node" id="11"/>
    <tableColumn name="selected" id="1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"/>
  <sheetViews>
    <sheetView workbookViewId="0" tabSelected="1"/>
  </sheetViews>
  <sheetFormatPr defaultRowHeight="15" x14ac:dyDescent="0.25"/>
  <cols>
    <col min="1" max="1" style="13" width="29.862142857142857" customWidth="1" bestFit="1"/>
    <col min="2" max="2" style="13" width="9.290714285714287" customWidth="1" bestFit="1"/>
    <col min="3" max="3" style="13" width="15.147857142857141" customWidth="1" bestFit="1"/>
    <col min="4" max="4" style="14" width="10.862142857142858" customWidth="1" bestFit="1"/>
    <col min="5" max="5" style="14" width="22.433571428571426" customWidth="1" bestFit="1"/>
    <col min="6" max="6" style="14" width="28.290714285714284" customWidth="1" bestFit="1"/>
    <col min="7" max="7" style="14" width="28.290714285714284" customWidth="1" bestFit="1"/>
    <col min="8" max="8" style="14" width="18.14785714285714" customWidth="1" bestFit="1"/>
    <col min="9" max="9" style="14" width="24.719285714285714" customWidth="1" bestFit="1"/>
    <col min="10" max="10" style="14" width="19.005" customWidth="1" bestFit="1"/>
    <col min="11" max="11" style="14" width="19.862142857142857" customWidth="1" bestFit="1"/>
    <col min="12" max="12" style="1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2" t="s">
        <v>11</v>
      </c>
    </row>
    <row x14ac:dyDescent="0.25" r="2" customHeight="1" ht="19.5">
      <c r="A2" s="5" t="s">
        <v>12</v>
      </c>
      <c r="B2" s="6" t="s">
        <v>13</v>
      </c>
      <c r="C2" s="7" t="s">
        <v>14</v>
      </c>
      <c r="D2" s="8">
        <v>1</v>
      </c>
      <c r="E2" s="8">
        <v>2</v>
      </c>
      <c r="F2" s="8">
        <v>1</v>
      </c>
      <c r="G2" s="8">
        <v>0</v>
      </c>
      <c r="H2" s="9">
        <f>Table1[[#This Row], [n_mpi_procs]]*Table1[[#This Row], [n_nodes]]</f>
      </c>
      <c r="I2" s="9">
        <f>Table1[[#This Row], [total_MPI_ranks]]*Table1[[#This Row], [n_omp_threads]]</f>
      </c>
      <c r="J2" s="9">
        <f>Table1[[#This Row], [n_omp_threads]]*Table1[[#This Row], [n_mpi_procs]]*Table1[[#This Row], [n_nodes]]</f>
      </c>
      <c r="K2" s="10">
        <f>Table1[[#This Row], [total_devices]]/Table1[[#This Row], [n_nodes]]</f>
      </c>
      <c r="L2" s="11" t="s">
        <v>15</v>
      </c>
    </row>
    <row x14ac:dyDescent="0.25" r="3" customHeight="1" ht="19.5">
      <c r="A3" s="5" t="s">
        <v>16</v>
      </c>
      <c r="B3" s="6" t="s">
        <v>13</v>
      </c>
      <c r="C3" s="7" t="s">
        <v>17</v>
      </c>
      <c r="D3" s="8">
        <v>1</v>
      </c>
      <c r="E3" s="8">
        <v>1</v>
      </c>
      <c r="F3" s="8">
        <v>2</v>
      </c>
      <c r="G3" s="8">
        <v>0</v>
      </c>
      <c r="H3" s="9">
        <f>Table1[[#This Row], [n_mpi_procs]]*Table1[[#This Row], [n_nodes]]</f>
      </c>
      <c r="I3" s="9">
        <f>Table1[[#This Row], [total_MPI_ranks]]*Table1[[#This Row], [n_omp_threads]]</f>
      </c>
      <c r="J3" s="9">
        <f>Table1[[#This Row], [n_omp_threads]]*Table1[[#This Row], [n_mpi_procs]]*Table1[[#This Row], [n_nodes]]</f>
      </c>
      <c r="K3" s="10">
        <f>Table1[[#This Row], [total_devices]]/Table1[[#This Row], [n_nodes]]</f>
      </c>
      <c r="L3" s="12" t="s">
        <v>15</v>
      </c>
    </row>
    <row x14ac:dyDescent="0.25" r="4" customHeight="1" ht="19.5">
      <c r="A4" s="5" t="s">
        <v>18</v>
      </c>
      <c r="B4" s="6" t="s">
        <v>13</v>
      </c>
      <c r="C4" s="7" t="s">
        <v>19</v>
      </c>
      <c r="D4" s="8">
        <v>1</v>
      </c>
      <c r="E4" s="8">
        <v>2</v>
      </c>
      <c r="F4" s="8">
        <v>2</v>
      </c>
      <c r="G4" s="8">
        <v>0</v>
      </c>
      <c r="H4" s="9">
        <f>Table1[[#This Row], [n_mpi_procs]]*Table1[[#This Row], [n_nodes]]</f>
      </c>
      <c r="I4" s="9">
        <f>Table1[[#This Row], [total_MPI_ranks]]*Table1[[#This Row], [n_omp_threads]]</f>
      </c>
      <c r="J4" s="9">
        <f>Table1[[#This Row], [n_omp_threads]]*Table1[[#This Row], [n_mpi_procs]]*Table1[[#This Row], [n_nodes]]</f>
      </c>
      <c r="K4" s="10">
        <f>Table1[[#This Row], [total_devices]]/Table1[[#This Row], [n_nodes]]</f>
      </c>
      <c r="L4" s="12" t="s">
        <v>15</v>
      </c>
    </row>
    <row x14ac:dyDescent="0.25" r="5" customHeight="1" ht="19.5">
      <c r="A5" s="5" t="s">
        <v>20</v>
      </c>
      <c r="B5" s="6" t="s">
        <v>13</v>
      </c>
      <c r="C5" s="7" t="s">
        <v>21</v>
      </c>
      <c r="D5" s="8">
        <v>1</v>
      </c>
      <c r="E5" s="8">
        <v>1</v>
      </c>
      <c r="F5" s="8">
        <v>1</v>
      </c>
      <c r="G5" s="8">
        <v>0</v>
      </c>
      <c r="H5" s="9">
        <f>Table1[[#This Row], [n_mpi_procs]]*Table1[[#This Row], [n_nodes]]</f>
      </c>
      <c r="I5" s="9">
        <f>Table1[[#This Row], [total_MPI_ranks]]*Table1[[#This Row], [n_omp_threads]]</f>
      </c>
      <c r="J5" s="9">
        <f>Table1[[#This Row], [n_omp_threads]]*Table1[[#This Row], [n_mpi_procs]]*Table1[[#This Row], [n_nodes]]</f>
      </c>
      <c r="K5" s="10">
        <f>Table1[[#This Row], [total_devices]]/Table1[[#This Row], [n_nodes]]</f>
      </c>
      <c r="L5" s="1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2026-01-20T14:41:09.734Z</dcterms:created>
  <dcterms:modified xsi:type="dcterms:W3CDTF">2026-01-20T14:41:09.734Z</dcterms:modified>
</cp:coreProperties>
</file>