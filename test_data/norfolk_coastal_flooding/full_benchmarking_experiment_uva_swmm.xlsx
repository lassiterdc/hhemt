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\\wsl.localhost\Ubuntu\home\dcl3nd\dev\TRITON-SWMM_toolkit\test_data\norfolk_coastal_flooding\"/>
    </mc:Choice>
  </mc:AlternateContent>
  <xr:revisionPtr revIDLastSave="0" documentId="13_ncr:1_{ECAEFC9C-8C00-4929-AB95-1C97A3DCCB62}" xr6:coauthVersionLast="47" xr6:coauthVersionMax="47" xr10:uidLastSave="{00000000-0000-0000-0000-000000000000}"/>
  <bookViews>
    <workbookView xWindow="-120" yWindow="-120" windowWidth="38640" windowHeight="21120" xr2:uid="{00000000-000D-0000-FFFF-FFFF00000000}"/>
  </bookViews>
  <sheets>
    <sheet name="Summary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2" i="1"/>
  <c r="M2" i="1"/>
  <c r="M3" i="1"/>
  <c r="M4" i="1"/>
  <c r="M5" i="1"/>
  <c r="M6" i="1"/>
  <c r="M7" i="1"/>
  <c r="M8" i="1"/>
  <c r="K2" i="1"/>
  <c r="L2" i="1" s="1"/>
  <c r="K3" i="1"/>
  <c r="L3" i="1" s="1"/>
  <c r="K4" i="1"/>
  <c r="L4" i="1" s="1"/>
  <c r="K5" i="1"/>
  <c r="L5" i="1" s="1"/>
  <c r="K6" i="1"/>
  <c r="L6" i="1" s="1"/>
  <c r="K7" i="1"/>
  <c r="L7" i="1" s="1"/>
  <c r="K8" i="1"/>
  <c r="L8" i="1" s="1"/>
  <c r="J2" i="1"/>
  <c r="J3" i="1"/>
  <c r="J4" i="1"/>
  <c r="J5" i="1"/>
  <c r="J6" i="1"/>
  <c r="J7" i="1"/>
  <c r="J8" i="1"/>
</calcChain>
</file>

<file path=xl/sharedStrings.xml><?xml version="1.0" encoding="utf-8"?>
<sst xmlns="http://schemas.openxmlformats.org/spreadsheetml/2006/main" count="41" uniqueCount="19">
  <si>
    <t>CPU</t>
  </si>
  <si>
    <t>Baseline - 1 CPU</t>
  </si>
  <si>
    <t>Multi-CPU - OMP</t>
  </si>
  <si>
    <t>devices_per_node</t>
  </si>
  <si>
    <t>hardware_utilization_strategy</t>
  </si>
  <si>
    <t>device</t>
  </si>
  <si>
    <t>total_OpenMP_threads</t>
  </si>
  <si>
    <t>total_devices</t>
  </si>
  <si>
    <t>run_mode</t>
  </si>
  <si>
    <t>n_nodes</t>
  </si>
  <si>
    <t>n_mpi_procs</t>
  </si>
  <si>
    <t>n_omp_threads</t>
  </si>
  <si>
    <t>n_gpus</t>
  </si>
  <si>
    <t>serial</t>
  </si>
  <si>
    <t>openmp</t>
  </si>
  <si>
    <t>check</t>
  </si>
  <si>
    <t>hpc_ensemble_partition</t>
  </si>
  <si>
    <t>standard</t>
  </si>
  <si>
    <t>hpc_time_min_per_sim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</si>
</sst>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</fills>
  <borders count="11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4">
    <xf numFmtId="0" fontId="0" fillId="0" borderId="0"/>
    <xf numFmtId="0" fontId="2" fillId="2" borderId="1" applyNumberFormat="0" applyAlignment="0" applyProtection="0"/>
    <xf numFmtId="0" fontId="3" fillId="3" borderId="2" applyNumberFormat="0" applyAlignment="0" applyProtection="0"/>
    <xf numFmtId="0" fontId="1" fillId="4" borderId="3" applyNumberFormat="0" applyFont="0" applyAlignment="0" applyProtection="0"/>
  </cellStyleXfs>
  <cellXfs count="13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2" fillId="2" borderId="4" xfId="1" applyBorder="1"/>
    <xf numFmtId="0" fontId="3" fillId="3" borderId="4" xfId="2" applyBorder="1"/>
    <xf numFmtId="0" fontId="3" fillId="3" borderId="9" xfId="2" applyNumberFormat="1" applyBorder="1"/>
    <xf numFmtId="0" fontId="5" fillId="0" borderId="10" xfId="0" applyFont="1" applyBorder="1" applyAlignment="1">
      <alignment horizontal="left"/>
    </xf>
    <xf numFmtId="3" fontId="5" fillId="0" borderId="10" xfId="0" applyNumberFormat="1" applyFont="1" applyBorder="1" applyAlignment="1">
      <alignment horizontal="left"/>
    </xf>
    <xf numFmtId="3" fontId="2" fillId="2" borderId="4" xfId="1" applyNumberFormat="1" applyBorder="1" applyAlignment="1">
      <alignment horizontal="right"/>
    </xf>
    <xf numFmtId="0" fontId="4" fillId="4" borderId="8" xfId="3" applyFont="1" applyBorder="1" applyAlignment="1">
      <alignment horizontal="left"/>
    </xf>
    <xf numFmtId="0" fontId="4" fillId="4" borderId="4" xfId="3" applyFont="1" applyBorder="1" applyAlignment="1">
      <alignment horizontal="left"/>
    </xf>
    <xf numFmtId="0" fontId="5" fillId="0" borderId="0" xfId="0" applyFont="1" applyAlignment="1">
      <alignment horizontal="left"/>
    </xf>
  </cellXfs>
  <cellStyles count="4">
    <cellStyle name="Input" xfId="1" builtinId="20"/>
    <cellStyle name="Normal" xfId="0" builtinId="0"/>
    <cellStyle name="Note" xfId="3" builtinId="10"/>
    <cellStyle name="Output" xfId="2" builtinId="21"/>
  </cellStyles>
  <dxfs count="17">
    <dxf>
      <numFmt numFmtId="0" formatCode="General"/>
    </dxf>
    <dxf>
      <numFmt numFmtId="0" formatCode="General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/>
        <vertical/>
        <horizontal/>
      </border>
    </dxf>
    <dxf>
      <numFmt numFmtId="0" formatCode="General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" formatCode="#,##0"/>
      <alignment horizontal="right" vertical="bottom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>
        <top style="thin">
          <color indexed="64"/>
        </top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A4495C6-64F1-4654-82C3-1417CFDBC1D1}" name="Table1" displayName="Table1" ref="A1:M8" totalsRowShown="0" headerRowDxfId="16" headerRowBorderDxfId="15" tableBorderDxfId="14" totalsRowBorderDxfId="13">
  <autoFilter ref="A1:M8" xr:uid="{1A4495C6-64F1-4654-82C3-1417CFDBC1D1}"/>
  <sortState xmlns:xlrd2="http://schemas.microsoft.com/office/spreadsheetml/2017/richdata2" ref="A2:M8">
    <sortCondition ref="E1:E8"/>
  </sortState>
  <tableColumns count="13">
    <tableColumn id="11" xr3:uid="{3DECB62C-AAF2-4EC7-8598-5E8776D4B845}" name="hardware_utilization_strategy" dataDxfId="12" dataCellStyle="Note"/>
    <tableColumn id="9" xr3:uid="{047B8296-C28F-43DA-A753-CC6445B34CE4}" name="device" dataDxfId="11" dataCellStyle="Note"/>
    <tableColumn id="1" xr3:uid="{16000747-EB63-4EDF-971B-D9460636B6A5}" name="run_mode" dataDxfId="10" dataCellStyle="Input"/>
    <tableColumn id="2" xr3:uid="{09DC1F4B-B2B0-493A-B83E-1D7D4EA31F4C}" name="n_nodes" dataDxfId="9" dataCellStyle="Input"/>
    <tableColumn id="3" xr3:uid="{3A65E5E5-CB8B-4698-A27C-21DF3A95D49A}" name="n_mpi_procs" dataDxfId="8" dataCellStyle="Input"/>
    <tableColumn id="4" xr3:uid="{D366E835-7967-45B3-94DD-92B04C3126AA}" name="n_omp_threads" dataDxfId="7" dataCellStyle="Input"/>
    <tableColumn id="8" xr3:uid="{53D9FE6F-92F7-4A3A-B94F-6A698F029BE0}" name="n_gpus" dataDxfId="6" dataCellStyle="Input"/>
    <tableColumn id="12" xr3:uid="{97D9BCE9-C2EB-487D-9081-3F6B6CACB117}" name="hpc_ensemble_partition" dataDxfId="5" dataCellStyle="Input"/>
    <tableColumn id="13" xr3:uid="{96650528-E8C5-445B-8564-B12E25175139}" name="hpc_time_min_per_sim" dataDxfId="4" dataCellStyle="Input">
      <calculatedColumnFormula>60*6</calculatedColumnFormula>
    </tableColumn>
    <tableColumn id="6" xr3:uid="{F6B7A6B4-BD4B-4406-BCB7-C3DBCC48FA6B}" name="total_OpenMP_threads" dataDxfId="3" dataCellStyle="Output">
      <calculatedColumnFormula>Table1[[#This Row],[n_mpi_procs]]*Table1[[#This Row],[n_omp_threads]]</calculatedColumnFormula>
    </tableColumn>
    <tableColumn id="7" xr3:uid="{8B064801-C992-4C19-AF9B-73CC7D0951B1}" name="total_devices" dataDxfId="2" dataCellStyle="Output">
      <calculatedColumnFormula>Table1[[#This Row],[n_omp_threads]]*Table1[[#This Row],[n_mpi_procs]]</calculatedColumnFormula>
    </tableColumn>
    <tableColumn id="10" xr3:uid="{C813D3D6-6AEA-4168-A5C0-6FD56BB1D36D}" name="devices_per_node" dataDxfId="1" dataCellStyle="Output">
      <calculatedColumnFormula>Table1[[#This Row],[total_devices]]/Table1[[#This Row],[n_nodes]]</calculatedColumnFormula>
    </tableColumn>
    <tableColumn id="5" xr3:uid="{47E652A1-51DD-4A45-9FB0-F72E592EF0D3}" name="check" dataDxfId="0">
      <calculatedColumnFormula>Table1[[#This Row],[n_mpi_procs]]&gt;=Table1[[#This Row],[n_nodes]]</calculatedColumn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8"/>
  <sheetViews>
    <sheetView tabSelected="1" workbookViewId="0">
      <selection activeCell="F11" sqref="F11:F12"/>
    </sheetView>
  </sheetViews>
  <sheetFormatPr defaultRowHeight="15" x14ac:dyDescent="0.25"/>
  <cols>
    <col min="1" max="1" width="29.85546875" bestFit="1" customWidth="1"/>
    <col min="2" max="2" width="9.28515625" bestFit="1" customWidth="1"/>
    <col min="3" max="3" width="9.28515625" customWidth="1"/>
    <col min="4" max="4" width="19" customWidth="1"/>
    <col min="5" max="5" width="22.42578125" bestFit="1" customWidth="1"/>
    <col min="6" max="6" width="28.28515625" bestFit="1" customWidth="1"/>
    <col min="7" max="9" width="28.28515625" customWidth="1"/>
    <col min="10" max="10" width="24.7109375" bestFit="1" customWidth="1"/>
    <col min="11" max="11" width="19" customWidth="1"/>
    <col min="12" max="12" width="19.85546875" bestFit="1" customWidth="1"/>
  </cols>
  <sheetData>
    <row r="1" spans="1:13" x14ac:dyDescent="0.25">
      <c r="A1" s="1" t="s">
        <v>4</v>
      </c>
      <c r="B1" s="2" t="s">
        <v>5</v>
      </c>
      <c r="C1" s="2" t="s">
        <v>8</v>
      </c>
      <c r="D1" s="8" t="s">
        <v>9</v>
      </c>
      <c r="E1" s="8" t="s">
        <v>10</v>
      </c>
      <c r="F1" s="8" t="s">
        <v>11</v>
      </c>
      <c r="G1" s="8" t="s">
        <v>12</v>
      </c>
      <c r="H1" s="7" t="s">
        <v>16</v>
      </c>
      <c r="I1" s="12" t="s">
        <v>18</v>
      </c>
      <c r="J1" s="2" t="s">
        <v>6</v>
      </c>
      <c r="K1" s="2" t="s">
        <v>7</v>
      </c>
      <c r="L1" s="3" t="s">
        <v>3</v>
      </c>
      <c r="M1" s="2" t="s">
        <v>15</v>
      </c>
    </row>
    <row r="2" spans="1:13" x14ac:dyDescent="0.25">
      <c r="A2" s="10" t="s">
        <v>1</v>
      </c>
      <c r="B2" s="11" t="s">
        <v>0</v>
      </c>
      <c r="C2" s="9" t="s">
        <v>13</v>
      </c>
      <c r="D2" s="9">
        <v>1</v>
      </c>
      <c r="E2" s="9">
        <v>1</v>
      </c>
      <c r="F2" s="9">
        <v>1</v>
      </c>
      <c r="G2" s="4">
        <v>0</v>
      </c>
      <c r="H2" s="4" t="s">
        <v>17</v>
      </c>
      <c r="I2" s="4">
        <f>60*6</f>
        <v>360</v>
      </c>
      <c r="J2" s="5">
        <f>Table1[[#This Row],[n_mpi_procs]]*Table1[[#This Row],[n_omp_threads]]</f>
        <v>1</v>
      </c>
      <c r="K2" s="5">
        <f>Table1[[#This Row],[n_omp_threads]]*Table1[[#This Row],[n_mpi_procs]]</f>
        <v>1</v>
      </c>
      <c r="L2" s="6">
        <f>Table1[[#This Row],[total_devices]]/Table1[[#This Row],[n_nodes]]</f>
        <v>1</v>
      </c>
      <c r="M2" t="b">
        <f>Table1[[#This Row],[n_mpi_procs]]&gt;=Table1[[#This Row],[n_nodes]]</f>
        <v>1</v>
      </c>
    </row>
    <row r="3" spans="1:13" x14ac:dyDescent="0.25">
      <c r="A3" s="10" t="s">
        <v>2</v>
      </c>
      <c r="B3" s="11" t="s">
        <v>0</v>
      </c>
      <c r="C3" s="9" t="s">
        <v>14</v>
      </c>
      <c r="D3" s="9">
        <v>1</v>
      </c>
      <c r="E3" s="9">
        <v>1</v>
      </c>
      <c r="F3" s="9">
        <v>2</v>
      </c>
      <c r="G3" s="4">
        <v>0</v>
      </c>
      <c r="H3" s="4" t="s">
        <v>17</v>
      </c>
      <c r="I3" s="4">
        <f>60*6</f>
        <v>360</v>
      </c>
      <c r="J3" s="5">
        <f>Table1[[#This Row],[n_mpi_procs]]*Table1[[#This Row],[n_omp_threads]]</f>
        <v>2</v>
      </c>
      <c r="K3" s="5">
        <f>Table1[[#This Row],[n_omp_threads]]*Table1[[#This Row],[n_mpi_procs]]</f>
        <v>2</v>
      </c>
      <c r="L3" s="6">
        <f>Table1[[#This Row],[total_devices]]/Table1[[#This Row],[n_nodes]]</f>
        <v>2</v>
      </c>
      <c r="M3" t="b">
        <f>Table1[[#This Row],[n_mpi_procs]]&gt;=Table1[[#This Row],[n_nodes]]</f>
        <v>1</v>
      </c>
    </row>
    <row r="4" spans="1:13" x14ac:dyDescent="0.25">
      <c r="A4" s="10" t="s">
        <v>2</v>
      </c>
      <c r="B4" s="11" t="s">
        <v>0</v>
      </c>
      <c r="C4" s="9" t="s">
        <v>14</v>
      </c>
      <c r="D4" s="9">
        <v>1</v>
      </c>
      <c r="E4" s="9">
        <v>1</v>
      </c>
      <c r="F4" s="9">
        <v>4</v>
      </c>
      <c r="G4" s="4">
        <v>0</v>
      </c>
      <c r="H4" s="4" t="s">
        <v>17</v>
      </c>
      <c r="I4" s="4">
        <f>60*6</f>
        <v>360</v>
      </c>
      <c r="J4" s="5">
        <f>Table1[[#This Row],[n_mpi_procs]]*Table1[[#This Row],[n_omp_threads]]</f>
        <v>4</v>
      </c>
      <c r="K4" s="5">
        <f>Table1[[#This Row],[n_omp_threads]]*Table1[[#This Row],[n_mpi_procs]]</f>
        <v>4</v>
      </c>
      <c r="L4" s="6">
        <f>Table1[[#This Row],[total_devices]]/Table1[[#This Row],[n_nodes]]</f>
        <v>4</v>
      </c>
      <c r="M4" t="b">
        <f>Table1[[#This Row],[n_mpi_procs]]&gt;=Table1[[#This Row],[n_nodes]]</f>
        <v>1</v>
      </c>
    </row>
    <row r="5" spans="1:13" x14ac:dyDescent="0.25">
      <c r="A5" s="10" t="s">
        <v>2</v>
      </c>
      <c r="B5" s="11" t="s">
        <v>0</v>
      </c>
      <c r="C5" s="9" t="s">
        <v>14</v>
      </c>
      <c r="D5" s="9">
        <v>1</v>
      </c>
      <c r="E5" s="9">
        <v>1</v>
      </c>
      <c r="F5" s="9">
        <v>8</v>
      </c>
      <c r="G5" s="4">
        <v>0</v>
      </c>
      <c r="H5" s="4" t="s">
        <v>17</v>
      </c>
      <c r="I5" s="4">
        <f>60*6</f>
        <v>360</v>
      </c>
      <c r="J5" s="5">
        <f>Table1[[#This Row],[n_mpi_procs]]*Table1[[#This Row],[n_omp_threads]]</f>
        <v>8</v>
      </c>
      <c r="K5" s="5">
        <f>Table1[[#This Row],[n_omp_threads]]*Table1[[#This Row],[n_mpi_procs]]</f>
        <v>8</v>
      </c>
      <c r="L5" s="6">
        <f>Table1[[#This Row],[total_devices]]/Table1[[#This Row],[n_nodes]]</f>
        <v>8</v>
      </c>
      <c r="M5" t="b">
        <f>Table1[[#This Row],[n_mpi_procs]]&gt;=Table1[[#This Row],[n_nodes]]</f>
        <v>1</v>
      </c>
    </row>
    <row r="6" spans="1:13" x14ac:dyDescent="0.25">
      <c r="A6" s="10" t="s">
        <v>2</v>
      </c>
      <c r="B6" s="11" t="s">
        <v>0</v>
      </c>
      <c r="C6" s="9" t="s">
        <v>14</v>
      </c>
      <c r="D6" s="9">
        <v>1</v>
      </c>
      <c r="E6" s="9">
        <v>1</v>
      </c>
      <c r="F6" s="9">
        <v>16</v>
      </c>
      <c r="G6" s="4">
        <v>0</v>
      </c>
      <c r="H6" s="4" t="s">
        <v>17</v>
      </c>
      <c r="I6" s="4">
        <f>60*6</f>
        <v>360</v>
      </c>
      <c r="J6" s="5">
        <f>Table1[[#This Row],[n_mpi_procs]]*Table1[[#This Row],[n_omp_threads]]</f>
        <v>16</v>
      </c>
      <c r="K6" s="5">
        <f>Table1[[#This Row],[n_omp_threads]]*Table1[[#This Row],[n_mpi_procs]]</f>
        <v>16</v>
      </c>
      <c r="L6" s="6">
        <f>Table1[[#This Row],[total_devices]]/Table1[[#This Row],[n_nodes]]</f>
        <v>16</v>
      </c>
      <c r="M6" t="b">
        <f>Table1[[#This Row],[n_mpi_procs]]&gt;=Table1[[#This Row],[n_nodes]]</f>
        <v>1</v>
      </c>
    </row>
    <row r="7" spans="1:13" x14ac:dyDescent="0.25">
      <c r="A7" s="10" t="s">
        <v>2</v>
      </c>
      <c r="B7" s="11" t="s">
        <v>0</v>
      </c>
      <c r="C7" s="9" t="s">
        <v>14</v>
      </c>
      <c r="D7" s="9">
        <v>1</v>
      </c>
      <c r="E7" s="9">
        <v>1</v>
      </c>
      <c r="F7" s="9">
        <v>32</v>
      </c>
      <c r="G7" s="4">
        <v>0</v>
      </c>
      <c r="H7" s="4" t="s">
        <v>17</v>
      </c>
      <c r="I7" s="4">
        <f>60*6</f>
        <v>360</v>
      </c>
      <c r="J7" s="5">
        <f>Table1[[#This Row],[n_mpi_procs]]*Table1[[#This Row],[n_omp_threads]]</f>
        <v>32</v>
      </c>
      <c r="K7" s="5">
        <f>Table1[[#This Row],[n_omp_threads]]*Table1[[#This Row],[n_mpi_procs]]</f>
        <v>32</v>
      </c>
      <c r="L7" s="6">
        <f>Table1[[#This Row],[total_devices]]/Table1[[#This Row],[n_nodes]]</f>
        <v>32</v>
      </c>
      <c r="M7" t="b">
        <f>Table1[[#This Row],[n_mpi_procs]]&gt;=Table1[[#This Row],[n_nodes]]</f>
        <v>1</v>
      </c>
    </row>
    <row r="8" spans="1:13" x14ac:dyDescent="0.25">
      <c r="A8" s="10" t="s">
        <v>2</v>
      </c>
      <c r="B8" s="11" t="s">
        <v>0</v>
      </c>
      <c r="C8" s="9" t="s">
        <v>14</v>
      </c>
      <c r="D8" s="9">
        <v>1</v>
      </c>
      <c r="E8" s="9">
        <v>1</v>
      </c>
      <c r="F8" s="9">
        <v>64</v>
      </c>
      <c r="G8" s="4">
        <v>0</v>
      </c>
      <c r="H8" s="4" t="s">
        <v>17</v>
      </c>
      <c r="I8" s="4">
        <f>60*6</f>
        <v>360</v>
      </c>
      <c r="J8" s="5">
        <f>Table1[[#This Row],[n_mpi_procs]]*Table1[[#This Row],[n_omp_threads]]</f>
        <v>64</v>
      </c>
      <c r="K8" s="5">
        <f>Table1[[#This Row],[n_omp_threads]]*Table1[[#This Row],[n_mpi_procs]]</f>
        <v>64</v>
      </c>
      <c r="L8" s="6">
        <f>Table1[[#This Row],[total_devices]]/Table1[[#This Row],[n_nodes]]</f>
        <v>64</v>
      </c>
      <c r="M8" t="b">
        <f>Table1[[#This Row],[n_mpi_procs]]&gt;=Table1[[#This Row],[n_nodes]]</f>
        <v>1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Lassiter</dc:creator>
  <cp:lastModifiedBy>Lassiter, Daniel Charles (dcl3nd)</cp:lastModifiedBy>
  <dcterms:created xsi:type="dcterms:W3CDTF">2015-06-05T18:17:20Z</dcterms:created>
  <dcterms:modified xsi:type="dcterms:W3CDTF">2026-02-14T17:57:09Z</dcterms:modified>
</cp:coreProperties>
</file>