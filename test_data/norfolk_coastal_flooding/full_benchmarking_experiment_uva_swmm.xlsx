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5">
    <fill>
      <patternFill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">
    <xf numFmtId="0" fontId="1" fillId="0" borderId="0"/>
    <xf numFmtId="0" fontId="2" fillId="2" borderId="1"/>
    <xf numFmtId="0" fontId="3" fillId="3" borderId="2"/>
    <xf numFmtId="0" fontId="1" fillId="4" borderId="3"/>
  </cellStyleXfs>
  <cellXfs count="12">
    <xf numFmtId="0" fontId="0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2" fillId="2" borderId="4" pivotButton="0" quotePrefix="0" xfId="1"/>
    <xf numFmtId="0" fontId="3" fillId="3" borderId="4" pivotButton="0" quotePrefix="0" xfId="2"/>
    <xf numFmtId="0" fontId="3" fillId="3" borderId="9" pivotButton="0" quotePrefix="0" xfId="2"/>
    <xf numFmtId="0" fontId="5" fillId="0" borderId="10" applyAlignment="1" pivotButton="0" quotePrefix="0" xfId="0">
      <alignment horizontal="left"/>
    </xf>
    <xf numFmtId="3" fontId="5" fillId="0" borderId="10" applyAlignment="1" pivotButton="0" quotePrefix="0" xfId="0">
      <alignment horizontal="left"/>
    </xf>
    <xf numFmtId="3" fontId="2" fillId="2" borderId="4" applyAlignment="1" pivotButton="0" quotePrefix="0" xfId="1">
      <alignment horizontal="right"/>
    </xf>
    <xf numFmtId="0" fontId="4" fillId="4" borderId="8" applyAlignment="1" pivotButton="0" quotePrefix="0" xfId="3">
      <alignment horizontal="left"/>
    </xf>
    <xf numFmtId="0" fontId="4" fillId="4" borderId="4" applyAlignment="1" pivotButton="0" quotePrefix="0" xfId="3">
      <alignment horizontal="left"/>
    </xf>
  </cellXfs>
  <cellStyles count="4">
    <cellStyle name="Normal" xfId="0" builtinId="0"/>
    <cellStyle name="Input" xfId="1" builtinId="20"/>
    <cellStyle name="Output" xfId="2" builtinId="21"/>
    <cellStyle name="Note" xfId="3" builtinId="10"/>
  </cellStyles>
  <dxfs count="16">
    <dxf>
      <numFmt numFmtId="0" formatCode="General"/>
    </dxf>
    <dxf>
      <numFmt numFmtId="0" formatCode="General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" formatCode="#,##0"/>
      <alignment horizontal="right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L8" headerRowCount="1" totalsRowShown="0" headerRowDxfId="15" headerRowBorderDxfId="14" tableBorderDxfId="13" totalsRowBorderDxfId="12">
  <autoFilter ref="A1:L8"/>
  <sortState ref="A2:L8">
    <sortCondition ref="E1:E8"/>
  </sortState>
  <tableColumns count="12">
    <tableColumn id="11" name="hardware_utilization_strategy" dataDxfId="11" dataCellStyle="Note"/>
    <tableColumn id="9" name="device" dataDxfId="10" dataCellStyle="Note"/>
    <tableColumn id="1" name="run_mode" dataDxfId="9" dataCellStyle="Input"/>
    <tableColumn id="2" name="n_nodes" dataDxfId="8" dataCellStyle="Input"/>
    <tableColumn id="3" name="n_mpi_procs" dataDxfId="7" dataCellStyle="Input"/>
    <tableColumn id="4" name="n_omp_threads" dataDxfId="6" dataCellStyle="Input"/>
    <tableColumn id="8" name="n_gpus" dataDxfId="5" dataCellStyle="Input"/>
    <tableColumn id="12" name="hpc_ensemble_partition" dataDxfId="4" dataCellStyle="Input"/>
    <tableColumn id="6" name="total_OpenMP_threads" dataDxfId="3" dataCellStyle="Output">
      <calculatedColumnFormula>Table1[[#This Row],[n_mpi_procs]]*Table1[[#This Row],[n_omp_threads]]</calculatedColumnFormula>
    </tableColumn>
    <tableColumn id="7" name="total_devices" dataDxfId="2" dataCellStyle="Output">
      <calculatedColumnFormula>Table1[[#This Row],[n_omp_threads]]*Table1[[#This Row],[n_mpi_procs]]</calculatedColumnFormula>
    </tableColumn>
    <tableColumn id="10" name="devices_per_node" dataDxfId="1" dataCellStyle="Output">
      <calculatedColumnFormula>Table1[[#This Row],[total_devices]]/Table1[[#This Row],[n_nodes]]</calculatedColumnFormula>
    </tableColumn>
    <tableColumn id="5" name="check" dataDxfId="0">
      <calculatedColumnFormula>Table1[[#This Row],[n_mpi_procs]]&gt;=Table1[[#This Row],[n_nodes]]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tabSelected="1" workbookViewId="0">
      <selection activeCell="F5" sqref="F5"/>
    </sheetView>
  </sheetViews>
  <sheetFormatPr baseColWidth="8" defaultRowHeight="15"/>
  <cols>
    <col width="29.85546875" bestFit="1" customWidth="1" min="1" max="1"/>
    <col width="9.28515625" bestFit="1" customWidth="1" min="2" max="2"/>
    <col width="9.28515625" customWidth="1" min="3" max="3"/>
    <col width="19" customWidth="1" min="4" max="4"/>
    <col width="22.42578125" bestFit="1" customWidth="1" min="5" max="5"/>
    <col width="28.28515625" bestFit="1" customWidth="1" min="6" max="6"/>
    <col width="28.28515625" customWidth="1" min="7" max="8"/>
    <col width="24.7109375" bestFit="1" customWidth="1" min="9" max="9"/>
    <col width="19" customWidth="1" min="10" max="10"/>
    <col width="19.85546875" bestFit="1" customWidth="1" min="11" max="11"/>
  </cols>
  <sheetData>
    <row r="1">
      <c r="A1" t="inlineStr">
        <is>
          <t>sa_id</t>
        </is>
      </c>
      <c r="B1" s="1" t="inlineStr">
        <is>
          <t>hardware_utilization_strategy</t>
        </is>
      </c>
      <c r="C1" s="2" t="inlineStr">
        <is>
          <t>device</t>
        </is>
      </c>
      <c r="D1" s="2" t="inlineStr">
        <is>
          <t>run_mode</t>
        </is>
      </c>
      <c r="E1" s="8" t="inlineStr">
        <is>
          <t>n_nodes</t>
        </is>
      </c>
      <c r="F1" s="8" t="inlineStr">
        <is>
          <t>n_mpi_procs</t>
        </is>
      </c>
      <c r="G1" s="8" t="inlineStr">
        <is>
          <t>n_omp_threads</t>
        </is>
      </c>
      <c r="H1" s="8" t="inlineStr">
        <is>
          <t>n_gpus</t>
        </is>
      </c>
      <c r="I1" s="7" t="inlineStr">
        <is>
          <t>hpc_ensemble_partition</t>
        </is>
      </c>
      <c r="J1" s="2" t="inlineStr">
        <is>
          <t>total_OpenMP_threads</t>
        </is>
      </c>
      <c r="K1" s="2" t="inlineStr">
        <is>
          <t>total_devices</t>
        </is>
      </c>
      <c r="L1" s="3" t="inlineStr">
        <is>
          <t>devices_per_node</t>
        </is>
      </c>
      <c r="M1" s="2" t="inlineStr">
        <is>
          <t>check</t>
        </is>
      </c>
    </row>
    <row r="2">
      <c r="A2" t="n">
        <v>0</v>
      </c>
      <c r="B2" s="10" t="inlineStr">
        <is>
          <t>Baseline - 1 CPU</t>
        </is>
      </c>
      <c r="C2" s="11" t="inlineStr">
        <is>
          <t>CPU</t>
        </is>
      </c>
      <c r="D2" s="9" t="inlineStr">
        <is>
          <t>serial</t>
        </is>
      </c>
      <c r="E2" s="9" t="n">
        <v>1</v>
      </c>
      <c r="F2" s="9" t="n">
        <v>1</v>
      </c>
      <c r="G2" s="9" t="n">
        <v>1</v>
      </c>
      <c r="H2" s="4" t="n">
        <v>0</v>
      </c>
      <c r="I2" s="4" t="inlineStr">
        <is>
          <t>standard</t>
        </is>
      </c>
      <c r="J2" s="5">
        <f>Table1[[#This Row],[n_mpi_procs]]*Table1[[#This Row],[n_omp_threads]]</f>
        <v/>
      </c>
      <c r="K2" s="5">
        <f>Table1[[#This Row],[n_omp_threads]]*Table1[[#This Row],[n_mpi_procs]]</f>
        <v/>
      </c>
      <c r="L2" s="6">
        <f>Table1[[#This Row],[total_devices]]/Table1[[#This Row],[n_nodes]]</f>
        <v/>
      </c>
      <c r="M2">
        <f>Table1[[#This Row],[n_mpi_procs]]&gt;=Table1[[#This Row],[n_nodes]]</f>
        <v/>
      </c>
    </row>
    <row r="3">
      <c r="A3" t="n">
        <v>1</v>
      </c>
      <c r="B3" s="10" t="inlineStr">
        <is>
          <t>Multi-CPU - OMP</t>
        </is>
      </c>
      <c r="C3" s="11" t="inlineStr">
        <is>
          <t>CPU</t>
        </is>
      </c>
      <c r="D3" s="9" t="inlineStr">
        <is>
          <t>openmp</t>
        </is>
      </c>
      <c r="E3" s="9" t="n">
        <v>1</v>
      </c>
      <c r="F3" s="9" t="n">
        <v>1</v>
      </c>
      <c r="G3" s="9" t="n">
        <v>2</v>
      </c>
      <c r="H3" s="4" t="n">
        <v>0</v>
      </c>
      <c r="I3" s="4" t="inlineStr">
        <is>
          <t>standard</t>
        </is>
      </c>
      <c r="J3" s="5">
        <f>Table1[[#This Row],[n_mpi_procs]]*Table1[[#This Row],[n_omp_threads]]</f>
        <v/>
      </c>
      <c r="K3" s="5">
        <f>Table1[[#This Row],[n_omp_threads]]*Table1[[#This Row],[n_mpi_procs]]</f>
        <v/>
      </c>
      <c r="L3" s="6">
        <f>Table1[[#This Row],[total_devices]]/Table1[[#This Row],[n_nodes]]</f>
        <v/>
      </c>
      <c r="M3">
        <f>Table1[[#This Row],[n_mpi_procs]]&gt;=Table1[[#This Row],[n_nodes]]</f>
        <v/>
      </c>
    </row>
    <row r="4">
      <c r="A4" t="n">
        <v>2</v>
      </c>
      <c r="B4" s="10" t="inlineStr">
        <is>
          <t>Multi-CPU - OMP</t>
        </is>
      </c>
      <c r="C4" s="11" t="inlineStr">
        <is>
          <t>CPU</t>
        </is>
      </c>
      <c r="D4" s="9" t="inlineStr">
        <is>
          <t>openmp</t>
        </is>
      </c>
      <c r="E4" s="9" t="n">
        <v>1</v>
      </c>
      <c r="F4" s="9" t="n">
        <v>1</v>
      </c>
      <c r="G4" s="9" t="n">
        <v>4</v>
      </c>
      <c r="H4" s="4" t="n">
        <v>0</v>
      </c>
      <c r="I4" s="4" t="inlineStr">
        <is>
          <t>standard</t>
        </is>
      </c>
      <c r="J4" s="5">
        <f>Table1[[#This Row],[n_mpi_procs]]*Table1[[#This Row],[n_omp_threads]]</f>
        <v/>
      </c>
      <c r="K4" s="5">
        <f>Table1[[#This Row],[n_omp_threads]]*Table1[[#This Row],[n_mpi_procs]]</f>
        <v/>
      </c>
      <c r="L4" s="6">
        <f>Table1[[#This Row],[total_devices]]/Table1[[#This Row],[n_nodes]]</f>
        <v/>
      </c>
      <c r="M4">
        <f>Table1[[#This Row],[n_mpi_procs]]&gt;=Table1[[#This Row],[n_nodes]]</f>
        <v/>
      </c>
    </row>
    <row r="5">
      <c r="A5" t="n">
        <v>3</v>
      </c>
      <c r="B5" s="10" t="inlineStr">
        <is>
          <t>Multi-CPU - OMP</t>
        </is>
      </c>
      <c r="C5" s="11" t="inlineStr">
        <is>
          <t>CPU</t>
        </is>
      </c>
      <c r="D5" s="9" t="inlineStr">
        <is>
          <t>openmp</t>
        </is>
      </c>
      <c r="E5" s="9" t="n">
        <v>1</v>
      </c>
      <c r="F5" s="9" t="n">
        <v>1</v>
      </c>
      <c r="G5" s="9" t="n">
        <v>8</v>
      </c>
      <c r="H5" s="4" t="n">
        <v>0</v>
      </c>
      <c r="I5" s="4" t="inlineStr">
        <is>
          <t>standard</t>
        </is>
      </c>
      <c r="J5" s="5">
        <f>Table1[[#This Row],[n_mpi_procs]]*Table1[[#This Row],[n_omp_threads]]</f>
        <v/>
      </c>
      <c r="K5" s="5">
        <f>Table1[[#This Row],[n_omp_threads]]*Table1[[#This Row],[n_mpi_procs]]</f>
        <v/>
      </c>
      <c r="L5" s="6">
        <f>Table1[[#This Row],[total_devices]]/Table1[[#This Row],[n_nodes]]</f>
        <v/>
      </c>
      <c r="M5">
        <f>Table1[[#This Row],[n_mpi_procs]]&gt;=Table1[[#This Row],[n_nodes]]</f>
        <v/>
      </c>
    </row>
    <row r="6">
      <c r="A6" t="n">
        <v>4</v>
      </c>
      <c r="B6" s="10" t="inlineStr">
        <is>
          <t>Multi-CPU - OMP</t>
        </is>
      </c>
      <c r="C6" s="11" t="inlineStr">
        <is>
          <t>CPU</t>
        </is>
      </c>
      <c r="D6" s="9" t="inlineStr">
        <is>
          <t>openmp</t>
        </is>
      </c>
      <c r="E6" s="9" t="n">
        <v>1</v>
      </c>
      <c r="F6" s="9" t="n">
        <v>1</v>
      </c>
      <c r="G6" s="9" t="n">
        <v>16</v>
      </c>
      <c r="H6" s="4" t="n">
        <v>0</v>
      </c>
      <c r="I6" s="4" t="inlineStr">
        <is>
          <t>standard</t>
        </is>
      </c>
      <c r="J6" s="5">
        <f>Table1[[#This Row],[n_mpi_procs]]*Table1[[#This Row],[n_omp_threads]]</f>
        <v/>
      </c>
      <c r="K6" s="5">
        <f>Table1[[#This Row],[n_omp_threads]]*Table1[[#This Row],[n_mpi_procs]]</f>
        <v/>
      </c>
      <c r="L6" s="6">
        <f>Table1[[#This Row],[total_devices]]/Table1[[#This Row],[n_nodes]]</f>
        <v/>
      </c>
      <c r="M6">
        <f>Table1[[#This Row],[n_mpi_procs]]&gt;=Table1[[#This Row],[n_nodes]]</f>
        <v/>
      </c>
    </row>
    <row r="7">
      <c r="A7" t="n">
        <v>5</v>
      </c>
      <c r="B7" s="10" t="inlineStr">
        <is>
          <t>Multi-CPU - OMP</t>
        </is>
      </c>
      <c r="C7" s="11" t="inlineStr">
        <is>
          <t>CPU</t>
        </is>
      </c>
      <c r="D7" s="9" t="inlineStr">
        <is>
          <t>openmp</t>
        </is>
      </c>
      <c r="E7" s="9" t="n">
        <v>1</v>
      </c>
      <c r="F7" s="9" t="n">
        <v>1</v>
      </c>
      <c r="G7" s="9" t="n">
        <v>32</v>
      </c>
      <c r="H7" s="4" t="n">
        <v>0</v>
      </c>
      <c r="I7" s="4" t="inlineStr">
        <is>
          <t>standard</t>
        </is>
      </c>
      <c r="J7" s="5">
        <f>Table1[[#This Row],[n_mpi_procs]]*Table1[[#This Row],[n_omp_threads]]</f>
        <v/>
      </c>
      <c r="K7" s="5">
        <f>Table1[[#This Row],[n_omp_threads]]*Table1[[#This Row],[n_mpi_procs]]</f>
        <v/>
      </c>
      <c r="L7" s="6">
        <f>Table1[[#This Row],[total_devices]]/Table1[[#This Row],[n_nodes]]</f>
        <v/>
      </c>
      <c r="M7">
        <f>Table1[[#This Row],[n_mpi_procs]]&gt;=Table1[[#This Row],[n_nodes]]</f>
        <v/>
      </c>
    </row>
    <row r="8">
      <c r="A8" t="n">
        <v>6</v>
      </c>
      <c r="B8" s="10" t="inlineStr">
        <is>
          <t>Multi-CPU - OMP</t>
        </is>
      </c>
      <c r="C8" s="11" t="inlineStr">
        <is>
          <t>CPU</t>
        </is>
      </c>
      <c r="D8" s="9" t="inlineStr">
        <is>
          <t>openmp</t>
        </is>
      </c>
      <c r="E8" s="9" t="n">
        <v>1</v>
      </c>
      <c r="F8" s="9" t="n">
        <v>1</v>
      </c>
      <c r="G8" s="9" t="n">
        <v>64</v>
      </c>
      <c r="H8" s="4" t="n">
        <v>0</v>
      </c>
      <c r="I8" s="4" t="inlineStr">
        <is>
          <t>standard</t>
        </is>
      </c>
      <c r="J8" s="5">
        <f>Table1[[#This Row],[n_mpi_procs]]*Table1[[#This Row],[n_omp_threads]]</f>
        <v/>
      </c>
      <c r="K8" s="5">
        <f>Table1[[#This Row],[n_omp_threads]]*Table1[[#This Row],[n_mpi_procs]]</f>
        <v/>
      </c>
      <c r="L8" s="6">
        <f>Table1[[#This Row],[total_devices]]/Table1[[#This Row],[n_nodes]]</f>
        <v/>
      </c>
      <c r="M8">
        <f>Table1[[#This Row],[n_mpi_procs]]&gt;=Table1[[#This Row],[n_nodes]]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Lassiter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2026-04-18T21:24:24Z</dcterms:modified>
  <cp:lastModifiedBy>Lassiter, Daniel Charles (dcl3nd)</cp:lastModifiedBy>
</cp:coreProperties>
</file>