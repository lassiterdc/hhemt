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ummary"/>
  </sheets>
  <calcPr fullCalcOnLoad="1"/>
</workbook>
</file>

<file path=xl/sharedStrings.xml><?xml version="1.0" encoding="utf-8"?>
<sst xmlns="http://schemas.openxmlformats.org/spreadsheetml/2006/main" count="208" uniqueCount="23">
  <si>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</si>
  <si>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</si>
  <si>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</si>
  <si>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</si>
  <si>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</si>
  <si>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</si>
  <si>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</si>
  <si>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</si>
  <si>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total_MPI_ranks</t>
  </si>
  <si>
    <t>total_OpenMP_threads</t>
  </si>
  <si>
    <t>total_devices</t>
  </si>
  <si>
    <t>devices_per_node</t>
  </si>
  <si>
    <t>Baseline - 1 CPU</t>
  </si>
  <si>
    <t>CPU</t>
  </si>
  <si>
    <t>serial</t>
  </si>
  <si>
    <t>standard</t>
  </si>
  <si>
    <t>Multi-CPU - HYB</t>
  </si>
  <si>
    <t>hybrid</t>
  </si>
  <si>
    <t>parallel</t>
  </si>
  <si>
    <t>Multi-CPU - MPI</t>
  </si>
  <si>
    <t>mpi</t>
  </si>
  <si>
    <t>Multi-CPU - OMP</t>
  </si>
  <si>
    <t>openmp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</si>
</sst>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4" applyBorder="1" fontId="2" applyFont="1" fillId="2" applyFill="1" applyAlignment="1">
      <alignment horizontal="left"/>
    </xf>
    <xf xfId="0" numFmtId="0" borderId="5" applyBorder="1" fontId="2" applyFont="1" fillId="2" applyFill="1" applyAlignment="1">
      <alignment horizontal="left"/>
    </xf>
    <xf xfId="0" numFmtId="0" borderId="5" applyBorder="1" fontId="3" applyFont="1" fillId="3" applyFill="1" applyAlignment="1">
      <alignment horizontal="left"/>
    </xf>
    <xf xfId="0" numFmtId="3" applyNumberFormat="1" borderId="5" applyBorder="1" fontId="3" applyFont="1" fillId="3" applyFill="1" applyAlignment="1">
      <alignment horizontal="right"/>
    </xf>
    <xf xfId="0" numFmtId="0" borderId="5" applyBorder="1" fontId="3" applyFont="1" fillId="3" applyFill="1" applyAlignment="1">
      <alignment horizontal="right"/>
    </xf>
    <xf xfId="0" numFmtId="3" applyNumberFormat="1" borderId="5" applyBorder="1" fontId="4" applyFont="1" fillId="4" applyFill="1" applyAlignment="1">
      <alignment horizontal="right"/>
    </xf>
    <xf xfId="0" numFmtId="3" applyNumberFormat="1" borderId="6" applyBorder="1" fontId="4" applyFont="1" fillId="4" applyFill="1" applyAlignment="1">
      <alignment horizontal="right"/>
    </xf>
    <xf xfId="0" numFmtId="0" borderId="7" applyBorder="1" fontId="2" applyFont="1" fillId="2" applyFill="1" applyAlignment="1">
      <alignment horizontal="left"/>
    </xf>
    <xf xfId="0" numFmtId="0" borderId="8" applyBorder="1" fontId="2" applyFont="1" fillId="2" applyFill="1" applyAlignment="1">
      <alignment horizontal="left"/>
    </xf>
    <xf xfId="0" numFmtId="3" applyNumberFormat="1" borderId="8" applyBorder="1" fontId="3" applyFont="1" fillId="3" applyFill="1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L50" displayName="Table1" name="Table1" id="1" totalsRowShown="0">
  <autoFilter ref="A1:L50"/>
  <tableColumns count="12">
    <tableColumn name="hardware_utilization_strategy" id="1"/>
    <tableColumn name="device" id="2"/>
    <tableColumn name="run_mode" id="3"/>
    <tableColumn name="n_nodes" id="4"/>
    <tableColumn name="n_mpi_procs" id="5"/>
    <tableColumn name="n_omp_threads" id="6"/>
    <tableColumn name="n_gpus" id="7"/>
    <tableColumn name="hpc_ensemble_partition" id="8"/>
    <tableColumn name="total_MPI_ranks" id="9"/>
    <tableColumn name="total_OpenMP_threads" id="10"/>
    <tableColumn name="total_devices" id="11"/>
    <tableColumn name="devices_per_node" id="12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50"/>
  <sheetViews>
    <sheetView workbookViewId="0" tabSelected="1"/>
  </sheetViews>
  <sheetFormatPr defaultRowHeight="15" x14ac:dyDescent="0.25"/>
  <cols>
    <col min="1" max="1" style="15" width="29.862142857142857" customWidth="1" bestFit="1"/>
    <col min="2" max="2" style="15" width="9.290714285714287" customWidth="1" bestFit="1"/>
    <col min="3" max="3" style="16" width="15.147857142857141" customWidth="1" bestFit="1"/>
    <col min="4" max="4" style="17" width="10.862142857142858" customWidth="1" bestFit="1"/>
    <col min="5" max="5" style="17" width="22.433571428571426" customWidth="1" bestFit="1"/>
    <col min="6" max="6" style="17" width="28.290714285714284" customWidth="1" bestFit="1"/>
    <col min="7" max="7" style="17" width="28.290714285714284" customWidth="1" bestFit="1"/>
    <col min="8" max="8" style="18" width="28.290714285714284" customWidth="1" bestFit="1"/>
    <col min="9" max="9" style="17" width="18.14785714285714" customWidth="1" bestFit="1"/>
    <col min="10" max="10" style="17" width="24.719285714285714" customWidth="1" bestFit="1"/>
    <col min="11" max="11" style="17" width="19.005" customWidth="1" bestFit="1"/>
    <col min="12" max="12" style="17" width="19.862142857142857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x14ac:dyDescent="0.25" r="2" customHeight="1" ht="19.5">
      <c r="A2" s="5" t="s">
        <v>12</v>
      </c>
      <c r="B2" s="6" t="s">
        <v>13</v>
      </c>
      <c r="C2" s="7" t="s">
        <v>14</v>
      </c>
      <c r="D2" s="8">
        <v>1</v>
      </c>
      <c r="E2" s="8">
        <v>1</v>
      </c>
      <c r="F2" s="8">
        <v>1</v>
      </c>
      <c r="G2" s="8">
        <v>0</v>
      </c>
      <c r="H2" s="9" t="s">
        <v>15</v>
      </c>
      <c r="I2" s="10">
        <f>Table1[[#This Row], [n_mpi_procs]]*Table1[[#This Row], [n_nodes]]</f>
      </c>
      <c r="J2" s="10">
        <f>Table1[[#This Row], [total_MPI_ranks]]*Table1[[#This Row], [n_omp_threads]]</f>
      </c>
      <c r="K2" s="10">
        <f>Table1[[#This Row], [n_omp_threads]]*Table1[[#This Row], [n_mpi_procs]]*Table1[[#This Row], [n_nodes]]</f>
      </c>
      <c r="L2" s="11">
        <f>Table1[[#This Row], [total_devices]]/Table1[[#This Row], [n_nodes]]</f>
      </c>
    </row>
    <row x14ac:dyDescent="0.25" r="3" customHeight="1" ht="19.5">
      <c r="A3" s="5" t="s">
        <v>16</v>
      </c>
      <c r="B3" s="6" t="s">
        <v>13</v>
      </c>
      <c r="C3" s="7" t="s">
        <v>17</v>
      </c>
      <c r="D3" s="8">
        <v>1</v>
      </c>
      <c r="E3" s="8">
        <v>2</v>
      </c>
      <c r="F3" s="8">
        <v>2</v>
      </c>
      <c r="G3" s="8">
        <v>0</v>
      </c>
      <c r="H3" s="9" t="s">
        <v>15</v>
      </c>
      <c r="I3" s="10">
        <f>Table1[[#This Row], [n_mpi_procs]]*Table1[[#This Row], [n_nodes]]</f>
      </c>
      <c r="J3" s="10">
        <f>Table1[[#This Row], [total_MPI_ranks]]*Table1[[#This Row], [n_omp_threads]]</f>
      </c>
      <c r="K3" s="10">
        <f>Table1[[#This Row], [n_omp_threads]]*Table1[[#This Row], [n_mpi_procs]]*Table1[[#This Row], [n_nodes]]</f>
      </c>
      <c r="L3" s="11">
        <f>Table1[[#This Row], [total_devices]]/Table1[[#This Row], [n_nodes]]</f>
      </c>
    </row>
    <row x14ac:dyDescent="0.25" r="4" customHeight="1" ht="19.5">
      <c r="A4" s="5" t="s">
        <v>16</v>
      </c>
      <c r="B4" s="6" t="s">
        <v>13</v>
      </c>
      <c r="C4" s="7" t="s">
        <v>17</v>
      </c>
      <c r="D4" s="8">
        <v>1</v>
      </c>
      <c r="E4" s="8">
        <v>2</v>
      </c>
      <c r="F4" s="8">
        <v>4</v>
      </c>
      <c r="G4" s="8">
        <v>0</v>
      </c>
      <c r="H4" s="9" t="s">
        <v>15</v>
      </c>
      <c r="I4" s="10">
        <f>Table1[[#This Row], [n_mpi_procs]]*Table1[[#This Row], [n_nodes]]</f>
      </c>
      <c r="J4" s="10">
        <f>Table1[[#This Row], [total_MPI_ranks]]*Table1[[#This Row], [n_omp_threads]]</f>
      </c>
      <c r="K4" s="10">
        <f>Table1[[#This Row], [n_omp_threads]]*Table1[[#This Row], [n_mpi_procs]]*Table1[[#This Row], [n_nodes]]</f>
      </c>
      <c r="L4" s="11">
        <f>Table1[[#This Row], [total_devices]]/Table1[[#This Row], [n_nodes]]</f>
      </c>
    </row>
    <row x14ac:dyDescent="0.25" r="5" customHeight="1" ht="19.5">
      <c r="A5" s="5" t="s">
        <v>16</v>
      </c>
      <c r="B5" s="6" t="s">
        <v>13</v>
      </c>
      <c r="C5" s="7" t="s">
        <v>17</v>
      </c>
      <c r="D5" s="8">
        <v>1</v>
      </c>
      <c r="E5" s="8">
        <v>4</v>
      </c>
      <c r="F5" s="8">
        <v>2</v>
      </c>
      <c r="G5" s="8">
        <v>0</v>
      </c>
      <c r="H5" s="9" t="s">
        <v>15</v>
      </c>
      <c r="I5" s="10">
        <f>Table1[[#This Row], [n_mpi_procs]]*Table1[[#This Row], [n_nodes]]</f>
      </c>
      <c r="J5" s="10">
        <f>Table1[[#This Row], [total_MPI_ranks]]*Table1[[#This Row], [n_omp_threads]]</f>
      </c>
      <c r="K5" s="10">
        <f>Table1[[#This Row], [n_omp_threads]]*Table1[[#This Row], [n_mpi_procs]]*Table1[[#This Row], [n_nodes]]</f>
      </c>
      <c r="L5" s="11">
        <f>Table1[[#This Row], [total_devices]]/Table1[[#This Row], [n_nodes]]</f>
      </c>
    </row>
    <row x14ac:dyDescent="0.25" r="6" customHeight="1" ht="19.5">
      <c r="A6" s="5" t="s">
        <v>16</v>
      </c>
      <c r="B6" s="6" t="s">
        <v>13</v>
      </c>
      <c r="C6" s="7" t="s">
        <v>17</v>
      </c>
      <c r="D6" s="8">
        <v>1</v>
      </c>
      <c r="E6" s="8">
        <v>4</v>
      </c>
      <c r="F6" s="8">
        <v>4</v>
      </c>
      <c r="G6" s="8">
        <v>0</v>
      </c>
      <c r="H6" s="9" t="s">
        <v>15</v>
      </c>
      <c r="I6" s="10">
        <f>Table1[[#This Row], [n_mpi_procs]]*Table1[[#This Row], [n_nodes]]</f>
      </c>
      <c r="J6" s="10">
        <f>Table1[[#This Row], [total_MPI_ranks]]*Table1[[#This Row], [n_omp_threads]]</f>
      </c>
      <c r="K6" s="10">
        <f>Table1[[#This Row], [n_omp_threads]]*Table1[[#This Row], [n_mpi_procs]]*Table1[[#This Row], [n_nodes]]</f>
      </c>
      <c r="L6" s="11">
        <f>Table1[[#This Row], [total_devices]]/Table1[[#This Row], [n_nodes]]</f>
      </c>
    </row>
    <row x14ac:dyDescent="0.25" r="7" customHeight="1" ht="19.5">
      <c r="A7" s="5" t="s">
        <v>16</v>
      </c>
      <c r="B7" s="6" t="s">
        <v>13</v>
      </c>
      <c r="C7" s="7" t="s">
        <v>17</v>
      </c>
      <c r="D7" s="8">
        <v>1</v>
      </c>
      <c r="E7" s="8">
        <v>2</v>
      </c>
      <c r="F7" s="8">
        <v>8</v>
      </c>
      <c r="G7" s="8">
        <v>0</v>
      </c>
      <c r="H7" s="9" t="s">
        <v>15</v>
      </c>
      <c r="I7" s="10">
        <f>Table1[[#This Row], [n_mpi_procs]]*Table1[[#This Row], [n_nodes]]</f>
      </c>
      <c r="J7" s="10">
        <f>Table1[[#This Row], [total_MPI_ranks]]*Table1[[#This Row], [n_omp_threads]]</f>
      </c>
      <c r="K7" s="10">
        <f>Table1[[#This Row], [n_omp_threads]]*Table1[[#This Row], [n_mpi_procs]]*Table1[[#This Row], [n_nodes]]</f>
      </c>
      <c r="L7" s="11">
        <f>Table1[[#This Row], [total_devices]]/Table1[[#This Row], [n_nodes]]</f>
      </c>
    </row>
    <row x14ac:dyDescent="0.25" r="8" customHeight="1" ht="19.5">
      <c r="A8" s="5" t="s">
        <v>16</v>
      </c>
      <c r="B8" s="6" t="s">
        <v>13</v>
      </c>
      <c r="C8" s="7" t="s">
        <v>17</v>
      </c>
      <c r="D8" s="8">
        <v>1</v>
      </c>
      <c r="E8" s="8">
        <v>8</v>
      </c>
      <c r="F8" s="8">
        <v>2</v>
      </c>
      <c r="G8" s="8">
        <v>0</v>
      </c>
      <c r="H8" s="9" t="s">
        <v>15</v>
      </c>
      <c r="I8" s="10">
        <f>Table1[[#This Row], [n_mpi_procs]]*Table1[[#This Row], [n_nodes]]</f>
      </c>
      <c r="J8" s="10">
        <f>Table1[[#This Row], [total_MPI_ranks]]*Table1[[#This Row], [n_omp_threads]]</f>
      </c>
      <c r="K8" s="10">
        <f>Table1[[#This Row], [n_omp_threads]]*Table1[[#This Row], [n_mpi_procs]]*Table1[[#This Row], [n_nodes]]</f>
      </c>
      <c r="L8" s="11">
        <f>Table1[[#This Row], [total_devices]]/Table1[[#This Row], [n_nodes]]</f>
      </c>
    </row>
    <row x14ac:dyDescent="0.25" r="9" customHeight="1" ht="19.5">
      <c r="A9" s="5" t="s">
        <v>16</v>
      </c>
      <c r="B9" s="6" t="s">
        <v>13</v>
      </c>
      <c r="C9" s="7" t="s">
        <v>17</v>
      </c>
      <c r="D9" s="8">
        <v>1</v>
      </c>
      <c r="E9" s="8">
        <v>16</v>
      </c>
      <c r="F9" s="8">
        <v>2</v>
      </c>
      <c r="G9" s="8">
        <v>0</v>
      </c>
      <c r="H9" s="9" t="s">
        <v>15</v>
      </c>
      <c r="I9" s="10">
        <f>Table1[[#This Row], [n_mpi_procs]]*Table1[[#This Row], [n_nodes]]</f>
      </c>
      <c r="J9" s="10">
        <f>Table1[[#This Row], [total_MPI_ranks]]*Table1[[#This Row], [n_omp_threads]]</f>
      </c>
      <c r="K9" s="10">
        <f>Table1[[#This Row], [n_omp_threads]]*Table1[[#This Row], [n_mpi_procs]]*Table1[[#This Row], [n_nodes]]</f>
      </c>
      <c r="L9" s="11">
        <f>Table1[[#This Row], [total_devices]]/Table1[[#This Row], [n_nodes]]</f>
      </c>
    </row>
    <row x14ac:dyDescent="0.25" r="10" customHeight="1" ht="19.5">
      <c r="A10" s="5" t="s">
        <v>16</v>
      </c>
      <c r="B10" s="6" t="s">
        <v>13</v>
      </c>
      <c r="C10" s="7" t="s">
        <v>17</v>
      </c>
      <c r="D10" s="8">
        <v>1</v>
      </c>
      <c r="E10" s="8">
        <v>2</v>
      </c>
      <c r="F10" s="8">
        <v>16</v>
      </c>
      <c r="G10" s="8">
        <v>0</v>
      </c>
      <c r="H10" s="9" t="s">
        <v>15</v>
      </c>
      <c r="I10" s="10">
        <f>Table1[[#This Row], [n_mpi_procs]]*Table1[[#This Row], [n_nodes]]</f>
      </c>
      <c r="J10" s="10">
        <f>Table1[[#This Row], [total_MPI_ranks]]*Table1[[#This Row], [n_omp_threads]]</f>
      </c>
      <c r="K10" s="10">
        <f>Table1[[#This Row], [n_omp_threads]]*Table1[[#This Row], [n_mpi_procs]]*Table1[[#This Row], [n_nodes]]</f>
      </c>
      <c r="L10" s="11">
        <f>Table1[[#This Row], [total_devices]]/Table1[[#This Row], [n_nodes]]</f>
      </c>
    </row>
    <row x14ac:dyDescent="0.25" r="11" customHeight="1" ht="19.5">
      <c r="A11" s="5" t="s">
        <v>16</v>
      </c>
      <c r="B11" s="6" t="s">
        <v>13</v>
      </c>
      <c r="C11" s="7" t="s">
        <v>17</v>
      </c>
      <c r="D11" s="8">
        <v>1</v>
      </c>
      <c r="E11" s="8">
        <v>4</v>
      </c>
      <c r="F11" s="8">
        <v>8</v>
      </c>
      <c r="G11" s="8">
        <v>0</v>
      </c>
      <c r="H11" s="9" t="s">
        <v>15</v>
      </c>
      <c r="I11" s="10">
        <f>Table1[[#This Row], [n_mpi_procs]]*Table1[[#This Row], [n_nodes]]</f>
      </c>
      <c r="J11" s="10">
        <f>Table1[[#This Row], [total_MPI_ranks]]*Table1[[#This Row], [n_omp_threads]]</f>
      </c>
      <c r="K11" s="10">
        <f>Table1[[#This Row], [n_omp_threads]]*Table1[[#This Row], [n_mpi_procs]]*Table1[[#This Row], [n_nodes]]</f>
      </c>
      <c r="L11" s="11">
        <f>Table1[[#This Row], [total_devices]]/Table1[[#This Row], [n_nodes]]</f>
      </c>
    </row>
    <row x14ac:dyDescent="0.25" r="12" customHeight="1" ht="19.5">
      <c r="A12" s="5" t="s">
        <v>16</v>
      </c>
      <c r="B12" s="6" t="s">
        <v>13</v>
      </c>
      <c r="C12" s="7" t="s">
        <v>17</v>
      </c>
      <c r="D12" s="8">
        <v>1</v>
      </c>
      <c r="E12" s="8">
        <v>8</v>
      </c>
      <c r="F12" s="8">
        <v>4</v>
      </c>
      <c r="G12" s="8">
        <v>0</v>
      </c>
      <c r="H12" s="9" t="s">
        <v>15</v>
      </c>
      <c r="I12" s="10">
        <f>Table1[[#This Row], [n_mpi_procs]]*Table1[[#This Row], [n_nodes]]</f>
      </c>
      <c r="J12" s="10">
        <f>Table1[[#This Row], [total_MPI_ranks]]*Table1[[#This Row], [n_omp_threads]]</f>
      </c>
      <c r="K12" s="10">
        <f>Table1[[#This Row], [n_omp_threads]]*Table1[[#This Row], [n_mpi_procs]]*Table1[[#This Row], [n_nodes]]</f>
      </c>
      <c r="L12" s="11">
        <f>Table1[[#This Row], [total_devices]]/Table1[[#This Row], [n_nodes]]</f>
      </c>
    </row>
    <row x14ac:dyDescent="0.25" r="13" customHeight="1" ht="19.5">
      <c r="A13" s="5" t="s">
        <v>16</v>
      </c>
      <c r="B13" s="6" t="s">
        <v>13</v>
      </c>
      <c r="C13" s="7" t="s">
        <v>17</v>
      </c>
      <c r="D13" s="8">
        <v>1</v>
      </c>
      <c r="E13" s="8">
        <v>2</v>
      </c>
      <c r="F13" s="8">
        <v>32</v>
      </c>
      <c r="G13" s="8">
        <v>0</v>
      </c>
      <c r="H13" s="9" t="s">
        <v>15</v>
      </c>
      <c r="I13" s="10">
        <f>Table1[[#This Row], [n_mpi_procs]]*Table1[[#This Row], [n_nodes]]</f>
      </c>
      <c r="J13" s="10">
        <f>Table1[[#This Row], [total_MPI_ranks]]*Table1[[#This Row], [n_omp_threads]]</f>
      </c>
      <c r="K13" s="10">
        <f>Table1[[#This Row], [n_omp_threads]]*Table1[[#This Row], [n_mpi_procs]]*Table1[[#This Row], [n_nodes]]</f>
      </c>
      <c r="L13" s="11">
        <f>Table1[[#This Row], [total_devices]]/Table1[[#This Row], [n_nodes]]</f>
      </c>
    </row>
    <row x14ac:dyDescent="0.25" r="14" customHeight="1" ht="19.5">
      <c r="A14" s="5" t="s">
        <v>16</v>
      </c>
      <c r="B14" s="6" t="s">
        <v>13</v>
      </c>
      <c r="C14" s="7" t="s">
        <v>17</v>
      </c>
      <c r="D14" s="8">
        <v>1</v>
      </c>
      <c r="E14" s="8">
        <v>32</v>
      </c>
      <c r="F14" s="8">
        <v>2</v>
      </c>
      <c r="G14" s="8">
        <v>0</v>
      </c>
      <c r="H14" s="9" t="s">
        <v>15</v>
      </c>
      <c r="I14" s="10">
        <f>Table1[[#This Row], [n_mpi_procs]]*Table1[[#This Row], [n_nodes]]</f>
      </c>
      <c r="J14" s="10">
        <f>Table1[[#This Row], [total_MPI_ranks]]*Table1[[#This Row], [n_omp_threads]]</f>
      </c>
      <c r="K14" s="10">
        <f>Table1[[#This Row], [n_omp_threads]]*Table1[[#This Row], [n_mpi_procs]]*Table1[[#This Row], [n_nodes]]</f>
      </c>
      <c r="L14" s="11">
        <f>Table1[[#This Row], [total_devices]]/Table1[[#This Row], [n_nodes]]</f>
      </c>
    </row>
    <row x14ac:dyDescent="0.25" r="15" customHeight="1" ht="19.5">
      <c r="A15" s="5" t="s">
        <v>16</v>
      </c>
      <c r="B15" s="6" t="s">
        <v>13</v>
      </c>
      <c r="C15" s="7" t="s">
        <v>17</v>
      </c>
      <c r="D15" s="8">
        <v>1</v>
      </c>
      <c r="E15" s="8">
        <v>4</v>
      </c>
      <c r="F15" s="8">
        <v>16</v>
      </c>
      <c r="G15" s="8">
        <v>0</v>
      </c>
      <c r="H15" s="9" t="s">
        <v>15</v>
      </c>
      <c r="I15" s="10">
        <f>Table1[[#This Row], [n_mpi_procs]]*Table1[[#This Row], [n_nodes]]</f>
      </c>
      <c r="J15" s="10">
        <f>Table1[[#This Row], [total_MPI_ranks]]*Table1[[#This Row], [n_omp_threads]]</f>
      </c>
      <c r="K15" s="10">
        <f>Table1[[#This Row], [n_omp_threads]]*Table1[[#This Row], [n_mpi_procs]]*Table1[[#This Row], [n_nodes]]</f>
      </c>
      <c r="L15" s="11">
        <f>Table1[[#This Row], [total_devices]]/Table1[[#This Row], [n_nodes]]</f>
      </c>
    </row>
    <row x14ac:dyDescent="0.25" r="16" customHeight="1" ht="19.5">
      <c r="A16" s="5" t="s">
        <v>16</v>
      </c>
      <c r="B16" s="6" t="s">
        <v>13</v>
      </c>
      <c r="C16" s="7" t="s">
        <v>17</v>
      </c>
      <c r="D16" s="8">
        <v>1</v>
      </c>
      <c r="E16" s="8">
        <v>16</v>
      </c>
      <c r="F16" s="8">
        <v>4</v>
      </c>
      <c r="G16" s="8">
        <v>0</v>
      </c>
      <c r="H16" s="9" t="s">
        <v>15</v>
      </c>
      <c r="I16" s="10">
        <f>Table1[[#This Row], [n_mpi_procs]]*Table1[[#This Row], [n_nodes]]</f>
      </c>
      <c r="J16" s="10">
        <f>Table1[[#This Row], [total_MPI_ranks]]*Table1[[#This Row], [n_omp_threads]]</f>
      </c>
      <c r="K16" s="10">
        <f>Table1[[#This Row], [n_omp_threads]]*Table1[[#This Row], [n_mpi_procs]]*Table1[[#This Row], [n_nodes]]</f>
      </c>
      <c r="L16" s="11">
        <f>Table1[[#This Row], [total_devices]]/Table1[[#This Row], [n_nodes]]</f>
      </c>
    </row>
    <row x14ac:dyDescent="0.25" r="17" customHeight="1" ht="19.5">
      <c r="A17" s="5" t="s">
        <v>16</v>
      </c>
      <c r="B17" s="6" t="s">
        <v>13</v>
      </c>
      <c r="C17" s="7" t="s">
        <v>17</v>
      </c>
      <c r="D17" s="8">
        <v>1</v>
      </c>
      <c r="E17" s="8">
        <v>8</v>
      </c>
      <c r="F17" s="8">
        <v>8</v>
      </c>
      <c r="G17" s="8">
        <v>0</v>
      </c>
      <c r="H17" s="9" t="s">
        <v>15</v>
      </c>
      <c r="I17" s="10">
        <f>Table1[[#This Row], [n_mpi_procs]]*Table1[[#This Row], [n_nodes]]</f>
      </c>
      <c r="J17" s="10">
        <f>Table1[[#This Row], [total_MPI_ranks]]*Table1[[#This Row], [n_omp_threads]]</f>
      </c>
      <c r="K17" s="10">
        <f>Table1[[#This Row], [n_omp_threads]]*Table1[[#This Row], [n_mpi_procs]]*Table1[[#This Row], [n_nodes]]</f>
      </c>
      <c r="L17" s="11">
        <f>Table1[[#This Row], [total_devices]]/Table1[[#This Row], [n_nodes]]</f>
      </c>
    </row>
    <row x14ac:dyDescent="0.25" r="18" customHeight="1" ht="19.5">
      <c r="A18" s="5" t="s">
        <v>16</v>
      </c>
      <c r="B18" s="6" t="s">
        <v>13</v>
      </c>
      <c r="C18" s="7" t="s">
        <v>17</v>
      </c>
      <c r="D18" s="8">
        <v>2</v>
      </c>
      <c r="E18" s="8">
        <v>2</v>
      </c>
      <c r="F18" s="8">
        <v>32</v>
      </c>
      <c r="G18" s="8">
        <v>0</v>
      </c>
      <c r="H18" s="9" t="s">
        <v>18</v>
      </c>
      <c r="I18" s="10">
        <f>Table1[[#This Row], [n_mpi_procs]]*Table1[[#This Row], [n_nodes]]</f>
      </c>
      <c r="J18" s="10">
        <f>Table1[[#This Row], [total_MPI_ranks]]*Table1[[#This Row], [n_omp_threads]]</f>
      </c>
      <c r="K18" s="10">
        <f>Table1[[#This Row], [n_omp_threads]]*Table1[[#This Row], [n_mpi_procs]]*Table1[[#This Row], [n_nodes]]</f>
      </c>
      <c r="L18" s="11">
        <f>Table1[[#This Row], [total_devices]]/Table1[[#This Row], [n_nodes]]</f>
      </c>
    </row>
    <row x14ac:dyDescent="0.25" r="19" customHeight="1" ht="19.5">
      <c r="A19" s="5" t="s">
        <v>16</v>
      </c>
      <c r="B19" s="6" t="s">
        <v>13</v>
      </c>
      <c r="C19" s="7" t="s">
        <v>17</v>
      </c>
      <c r="D19" s="8">
        <v>2</v>
      </c>
      <c r="E19" s="8">
        <v>32</v>
      </c>
      <c r="F19" s="8">
        <v>2</v>
      </c>
      <c r="G19" s="8">
        <v>0</v>
      </c>
      <c r="H19" s="9" t="s">
        <v>18</v>
      </c>
      <c r="I19" s="10">
        <f>Table1[[#This Row], [n_mpi_procs]]*Table1[[#This Row], [n_nodes]]</f>
      </c>
      <c r="J19" s="10">
        <f>Table1[[#This Row], [total_MPI_ranks]]*Table1[[#This Row], [n_omp_threads]]</f>
      </c>
      <c r="K19" s="10">
        <f>Table1[[#This Row], [n_omp_threads]]*Table1[[#This Row], [n_mpi_procs]]*Table1[[#This Row], [n_nodes]]</f>
      </c>
      <c r="L19" s="11">
        <f>Table1[[#This Row], [total_devices]]/Table1[[#This Row], [n_nodes]]</f>
      </c>
    </row>
    <row x14ac:dyDescent="0.25" r="20" customHeight="1" ht="19.5">
      <c r="A20" s="5" t="s">
        <v>16</v>
      </c>
      <c r="B20" s="6" t="s">
        <v>13</v>
      </c>
      <c r="C20" s="7" t="s">
        <v>17</v>
      </c>
      <c r="D20" s="8">
        <v>2</v>
      </c>
      <c r="E20" s="8">
        <v>4</v>
      </c>
      <c r="F20" s="8">
        <v>16</v>
      </c>
      <c r="G20" s="8">
        <v>0</v>
      </c>
      <c r="H20" s="9" t="s">
        <v>18</v>
      </c>
      <c r="I20" s="10">
        <f>Table1[[#This Row], [n_mpi_procs]]*Table1[[#This Row], [n_nodes]]</f>
      </c>
      <c r="J20" s="10">
        <f>Table1[[#This Row], [total_MPI_ranks]]*Table1[[#This Row], [n_omp_threads]]</f>
      </c>
      <c r="K20" s="10">
        <f>Table1[[#This Row], [n_omp_threads]]*Table1[[#This Row], [n_mpi_procs]]*Table1[[#This Row], [n_nodes]]</f>
      </c>
      <c r="L20" s="11">
        <f>Table1[[#This Row], [total_devices]]/Table1[[#This Row], [n_nodes]]</f>
      </c>
    </row>
    <row x14ac:dyDescent="0.25" r="21" customHeight="1" ht="19.5">
      <c r="A21" s="5" t="s">
        <v>16</v>
      </c>
      <c r="B21" s="6" t="s">
        <v>13</v>
      </c>
      <c r="C21" s="7" t="s">
        <v>17</v>
      </c>
      <c r="D21" s="8">
        <v>2</v>
      </c>
      <c r="E21" s="8">
        <v>16</v>
      </c>
      <c r="F21" s="8">
        <v>4</v>
      </c>
      <c r="G21" s="8">
        <v>0</v>
      </c>
      <c r="H21" s="9" t="s">
        <v>18</v>
      </c>
      <c r="I21" s="10">
        <f>Table1[[#This Row], [n_mpi_procs]]*Table1[[#This Row], [n_nodes]]</f>
      </c>
      <c r="J21" s="10">
        <f>Table1[[#This Row], [total_MPI_ranks]]*Table1[[#This Row], [n_omp_threads]]</f>
      </c>
      <c r="K21" s="10">
        <f>Table1[[#This Row], [n_omp_threads]]*Table1[[#This Row], [n_mpi_procs]]*Table1[[#This Row], [n_nodes]]</f>
      </c>
      <c r="L21" s="11">
        <f>Table1[[#This Row], [total_devices]]/Table1[[#This Row], [n_nodes]]</f>
      </c>
    </row>
    <row x14ac:dyDescent="0.25" r="22" customHeight="1" ht="19.5">
      <c r="A22" s="5" t="s">
        <v>16</v>
      </c>
      <c r="B22" s="6" t="s">
        <v>13</v>
      </c>
      <c r="C22" s="7" t="s">
        <v>17</v>
      </c>
      <c r="D22" s="8">
        <v>2</v>
      </c>
      <c r="E22" s="8">
        <v>8</v>
      </c>
      <c r="F22" s="8">
        <v>8</v>
      </c>
      <c r="G22" s="8">
        <v>0</v>
      </c>
      <c r="H22" s="9" t="s">
        <v>18</v>
      </c>
      <c r="I22" s="10">
        <f>Table1[[#This Row], [n_mpi_procs]]*Table1[[#This Row], [n_nodes]]</f>
      </c>
      <c r="J22" s="10">
        <f>Table1[[#This Row], [total_MPI_ranks]]*Table1[[#This Row], [n_omp_threads]]</f>
      </c>
      <c r="K22" s="10">
        <f>Table1[[#This Row], [n_omp_threads]]*Table1[[#This Row], [n_mpi_procs]]*Table1[[#This Row], [n_nodes]]</f>
      </c>
      <c r="L22" s="11">
        <f>Table1[[#This Row], [total_devices]]/Table1[[#This Row], [n_nodes]]</f>
      </c>
    </row>
    <row x14ac:dyDescent="0.25" r="23" customHeight="1" ht="19.5">
      <c r="A23" s="5" t="s">
        <v>16</v>
      </c>
      <c r="B23" s="6" t="s">
        <v>13</v>
      </c>
      <c r="C23" s="7" t="s">
        <v>17</v>
      </c>
      <c r="D23" s="8">
        <v>4</v>
      </c>
      <c r="E23" s="8">
        <v>2</v>
      </c>
      <c r="F23" s="8">
        <v>32</v>
      </c>
      <c r="G23" s="8">
        <v>0</v>
      </c>
      <c r="H23" s="9" t="s">
        <v>18</v>
      </c>
      <c r="I23" s="10">
        <f>Table1[[#This Row], [n_mpi_procs]]*Table1[[#This Row], [n_nodes]]</f>
      </c>
      <c r="J23" s="10">
        <f>Table1[[#This Row], [total_MPI_ranks]]*Table1[[#This Row], [n_omp_threads]]</f>
      </c>
      <c r="K23" s="10">
        <f>Table1[[#This Row], [n_omp_threads]]*Table1[[#This Row], [n_mpi_procs]]*Table1[[#This Row], [n_nodes]]</f>
      </c>
      <c r="L23" s="11">
        <f>Table1[[#This Row], [total_devices]]/Table1[[#This Row], [n_nodes]]</f>
      </c>
    </row>
    <row x14ac:dyDescent="0.25" r="24" customHeight="1" ht="19.5">
      <c r="A24" s="5" t="s">
        <v>16</v>
      </c>
      <c r="B24" s="6" t="s">
        <v>13</v>
      </c>
      <c r="C24" s="7" t="s">
        <v>17</v>
      </c>
      <c r="D24" s="8">
        <v>4</v>
      </c>
      <c r="E24" s="8">
        <v>32</v>
      </c>
      <c r="F24" s="8">
        <v>2</v>
      </c>
      <c r="G24" s="8">
        <v>0</v>
      </c>
      <c r="H24" s="9" t="s">
        <v>18</v>
      </c>
      <c r="I24" s="10">
        <f>Table1[[#This Row], [n_mpi_procs]]*Table1[[#This Row], [n_nodes]]</f>
      </c>
      <c r="J24" s="10">
        <f>Table1[[#This Row], [total_MPI_ranks]]*Table1[[#This Row], [n_omp_threads]]</f>
      </c>
      <c r="K24" s="10">
        <f>Table1[[#This Row], [n_omp_threads]]*Table1[[#This Row], [n_mpi_procs]]*Table1[[#This Row], [n_nodes]]</f>
      </c>
      <c r="L24" s="11">
        <f>Table1[[#This Row], [total_devices]]/Table1[[#This Row], [n_nodes]]</f>
      </c>
    </row>
    <row x14ac:dyDescent="0.25" r="25" customHeight="1" ht="19.5">
      <c r="A25" s="5" t="s">
        <v>16</v>
      </c>
      <c r="B25" s="6" t="s">
        <v>13</v>
      </c>
      <c r="C25" s="7" t="s">
        <v>17</v>
      </c>
      <c r="D25" s="8">
        <v>4</v>
      </c>
      <c r="E25" s="8">
        <v>4</v>
      </c>
      <c r="F25" s="8">
        <v>16</v>
      </c>
      <c r="G25" s="8">
        <v>0</v>
      </c>
      <c r="H25" s="9" t="s">
        <v>18</v>
      </c>
      <c r="I25" s="10">
        <f>Table1[[#This Row], [n_mpi_procs]]*Table1[[#This Row], [n_nodes]]</f>
      </c>
      <c r="J25" s="10">
        <f>Table1[[#This Row], [total_MPI_ranks]]*Table1[[#This Row], [n_omp_threads]]</f>
      </c>
      <c r="K25" s="10">
        <f>Table1[[#This Row], [n_omp_threads]]*Table1[[#This Row], [n_mpi_procs]]*Table1[[#This Row], [n_nodes]]</f>
      </c>
      <c r="L25" s="11">
        <f>Table1[[#This Row], [total_devices]]/Table1[[#This Row], [n_nodes]]</f>
      </c>
    </row>
    <row x14ac:dyDescent="0.25" r="26" customHeight="1" ht="19.5">
      <c r="A26" s="5" t="s">
        <v>16</v>
      </c>
      <c r="B26" s="6" t="s">
        <v>13</v>
      </c>
      <c r="C26" s="7" t="s">
        <v>17</v>
      </c>
      <c r="D26" s="8">
        <v>4</v>
      </c>
      <c r="E26" s="8">
        <v>16</v>
      </c>
      <c r="F26" s="8">
        <v>4</v>
      </c>
      <c r="G26" s="8">
        <v>0</v>
      </c>
      <c r="H26" s="9" t="s">
        <v>18</v>
      </c>
      <c r="I26" s="10">
        <f>Table1[[#This Row], [n_mpi_procs]]*Table1[[#This Row], [n_nodes]]</f>
      </c>
      <c r="J26" s="10">
        <f>Table1[[#This Row], [total_MPI_ranks]]*Table1[[#This Row], [n_omp_threads]]</f>
      </c>
      <c r="K26" s="10">
        <f>Table1[[#This Row], [n_omp_threads]]*Table1[[#This Row], [n_mpi_procs]]*Table1[[#This Row], [n_nodes]]</f>
      </c>
      <c r="L26" s="11">
        <f>Table1[[#This Row], [total_devices]]/Table1[[#This Row], [n_nodes]]</f>
      </c>
    </row>
    <row x14ac:dyDescent="0.25" r="27" customHeight="1" ht="19.5">
      <c r="A27" s="5" t="s">
        <v>16</v>
      </c>
      <c r="B27" s="6" t="s">
        <v>13</v>
      </c>
      <c r="C27" s="7" t="s">
        <v>17</v>
      </c>
      <c r="D27" s="8">
        <v>4</v>
      </c>
      <c r="E27" s="8">
        <v>8</v>
      </c>
      <c r="F27" s="8">
        <v>8</v>
      </c>
      <c r="G27" s="8">
        <v>0</v>
      </c>
      <c r="H27" s="9" t="s">
        <v>18</v>
      </c>
      <c r="I27" s="10">
        <f>Table1[[#This Row], [n_mpi_procs]]*Table1[[#This Row], [n_nodes]]</f>
      </c>
      <c r="J27" s="10">
        <f>Table1[[#This Row], [total_MPI_ranks]]*Table1[[#This Row], [n_omp_threads]]</f>
      </c>
      <c r="K27" s="10">
        <f>Table1[[#This Row], [n_omp_threads]]*Table1[[#This Row], [n_mpi_procs]]*Table1[[#This Row], [n_nodes]]</f>
      </c>
      <c r="L27" s="11">
        <f>Table1[[#This Row], [total_devices]]/Table1[[#This Row], [n_nodes]]</f>
      </c>
    </row>
    <row x14ac:dyDescent="0.25" r="28" customHeight="1" ht="19.5">
      <c r="A28" s="5" t="s">
        <v>16</v>
      </c>
      <c r="B28" s="6" t="s">
        <v>13</v>
      </c>
      <c r="C28" s="7" t="s">
        <v>17</v>
      </c>
      <c r="D28" s="8">
        <v>8</v>
      </c>
      <c r="E28" s="8">
        <v>2</v>
      </c>
      <c r="F28" s="8">
        <v>32</v>
      </c>
      <c r="G28" s="8">
        <v>0</v>
      </c>
      <c r="H28" s="9" t="s">
        <v>18</v>
      </c>
      <c r="I28" s="10">
        <f>Table1[[#This Row], [n_mpi_procs]]*Table1[[#This Row], [n_nodes]]</f>
      </c>
      <c r="J28" s="10">
        <f>Table1[[#This Row], [total_MPI_ranks]]*Table1[[#This Row], [n_omp_threads]]</f>
      </c>
      <c r="K28" s="10">
        <f>Table1[[#This Row], [n_omp_threads]]*Table1[[#This Row], [n_mpi_procs]]*Table1[[#This Row], [n_nodes]]</f>
      </c>
      <c r="L28" s="11">
        <f>Table1[[#This Row], [total_devices]]/Table1[[#This Row], [n_nodes]]</f>
      </c>
    </row>
    <row x14ac:dyDescent="0.25" r="29" customHeight="1" ht="19.5">
      <c r="A29" s="5" t="s">
        <v>16</v>
      </c>
      <c r="B29" s="6" t="s">
        <v>13</v>
      </c>
      <c r="C29" s="7" t="s">
        <v>17</v>
      </c>
      <c r="D29" s="8">
        <v>8</v>
      </c>
      <c r="E29" s="8">
        <v>32</v>
      </c>
      <c r="F29" s="8">
        <v>2</v>
      </c>
      <c r="G29" s="8">
        <v>0</v>
      </c>
      <c r="H29" s="9" t="s">
        <v>18</v>
      </c>
      <c r="I29" s="10">
        <f>Table1[[#This Row], [n_mpi_procs]]*Table1[[#This Row], [n_nodes]]</f>
      </c>
      <c r="J29" s="10">
        <f>Table1[[#This Row], [total_MPI_ranks]]*Table1[[#This Row], [n_omp_threads]]</f>
      </c>
      <c r="K29" s="10">
        <f>Table1[[#This Row], [n_omp_threads]]*Table1[[#This Row], [n_mpi_procs]]*Table1[[#This Row], [n_nodes]]</f>
      </c>
      <c r="L29" s="11">
        <f>Table1[[#This Row], [total_devices]]/Table1[[#This Row], [n_nodes]]</f>
      </c>
    </row>
    <row x14ac:dyDescent="0.25" r="30" customHeight="1" ht="19.5">
      <c r="A30" s="5" t="s">
        <v>16</v>
      </c>
      <c r="B30" s="6" t="s">
        <v>13</v>
      </c>
      <c r="C30" s="7" t="s">
        <v>17</v>
      </c>
      <c r="D30" s="8">
        <v>8</v>
      </c>
      <c r="E30" s="8">
        <v>4</v>
      </c>
      <c r="F30" s="8">
        <v>16</v>
      </c>
      <c r="G30" s="8">
        <v>0</v>
      </c>
      <c r="H30" s="9" t="s">
        <v>18</v>
      </c>
      <c r="I30" s="10">
        <f>Table1[[#This Row], [n_mpi_procs]]*Table1[[#This Row], [n_nodes]]</f>
      </c>
      <c r="J30" s="10">
        <f>Table1[[#This Row], [total_MPI_ranks]]*Table1[[#This Row], [n_omp_threads]]</f>
      </c>
      <c r="K30" s="10">
        <f>Table1[[#This Row], [n_omp_threads]]*Table1[[#This Row], [n_mpi_procs]]*Table1[[#This Row], [n_nodes]]</f>
      </c>
      <c r="L30" s="11">
        <f>Table1[[#This Row], [total_devices]]/Table1[[#This Row], [n_nodes]]</f>
      </c>
    </row>
    <row x14ac:dyDescent="0.25" r="31" customHeight="1" ht="19.5">
      <c r="A31" s="5" t="s">
        <v>16</v>
      </c>
      <c r="B31" s="6" t="s">
        <v>13</v>
      </c>
      <c r="C31" s="7" t="s">
        <v>17</v>
      </c>
      <c r="D31" s="8">
        <v>8</v>
      </c>
      <c r="E31" s="8">
        <v>16</v>
      </c>
      <c r="F31" s="8">
        <v>4</v>
      </c>
      <c r="G31" s="8">
        <v>0</v>
      </c>
      <c r="H31" s="9" t="s">
        <v>18</v>
      </c>
      <c r="I31" s="10">
        <f>Table1[[#This Row], [n_mpi_procs]]*Table1[[#This Row], [n_nodes]]</f>
      </c>
      <c r="J31" s="10">
        <f>Table1[[#This Row], [total_MPI_ranks]]*Table1[[#This Row], [n_omp_threads]]</f>
      </c>
      <c r="K31" s="10">
        <f>Table1[[#This Row], [n_omp_threads]]*Table1[[#This Row], [n_mpi_procs]]*Table1[[#This Row], [n_nodes]]</f>
      </c>
      <c r="L31" s="11">
        <f>Table1[[#This Row], [total_devices]]/Table1[[#This Row], [n_nodes]]</f>
      </c>
    </row>
    <row x14ac:dyDescent="0.25" r="32" customHeight="1" ht="19.5">
      <c r="A32" s="5" t="s">
        <v>16</v>
      </c>
      <c r="B32" s="6" t="s">
        <v>13</v>
      </c>
      <c r="C32" s="7" t="s">
        <v>17</v>
      </c>
      <c r="D32" s="8">
        <v>8</v>
      </c>
      <c r="E32" s="8">
        <v>8</v>
      </c>
      <c r="F32" s="8">
        <v>8</v>
      </c>
      <c r="G32" s="8">
        <v>0</v>
      </c>
      <c r="H32" s="9" t="s">
        <v>18</v>
      </c>
      <c r="I32" s="10">
        <f>Table1[[#This Row], [n_mpi_procs]]*Table1[[#This Row], [n_nodes]]</f>
      </c>
      <c r="J32" s="10">
        <f>Table1[[#This Row], [total_MPI_ranks]]*Table1[[#This Row], [n_omp_threads]]</f>
      </c>
      <c r="K32" s="10">
        <f>Table1[[#This Row], [n_omp_threads]]*Table1[[#This Row], [n_mpi_procs]]*Table1[[#This Row], [n_nodes]]</f>
      </c>
      <c r="L32" s="11">
        <f>Table1[[#This Row], [total_devices]]/Table1[[#This Row], [n_nodes]]</f>
      </c>
    </row>
    <row x14ac:dyDescent="0.25" r="33" customHeight="1" ht="19.5">
      <c r="A33" s="5" t="s">
        <v>19</v>
      </c>
      <c r="B33" s="6" t="s">
        <v>13</v>
      </c>
      <c r="C33" s="7" t="s">
        <v>20</v>
      </c>
      <c r="D33" s="8">
        <v>1</v>
      </c>
      <c r="E33" s="8">
        <v>2</v>
      </c>
      <c r="F33" s="8">
        <v>1</v>
      </c>
      <c r="G33" s="8">
        <v>0</v>
      </c>
      <c r="H33" s="9" t="s">
        <v>15</v>
      </c>
      <c r="I33" s="10">
        <f>Table1[[#This Row], [n_mpi_procs]]*Table1[[#This Row], [n_nodes]]</f>
      </c>
      <c r="J33" s="10">
        <f>Table1[[#This Row], [total_MPI_ranks]]*Table1[[#This Row], [n_omp_threads]]</f>
      </c>
      <c r="K33" s="10">
        <f>Table1[[#This Row], [n_omp_threads]]*Table1[[#This Row], [n_mpi_procs]]*Table1[[#This Row], [n_nodes]]</f>
      </c>
      <c r="L33" s="11">
        <f>Table1[[#This Row], [total_devices]]/Table1[[#This Row], [n_nodes]]</f>
      </c>
    </row>
    <row x14ac:dyDescent="0.25" r="34" customHeight="1" ht="19.5">
      <c r="A34" s="5" t="s">
        <v>19</v>
      </c>
      <c r="B34" s="6" t="s">
        <v>13</v>
      </c>
      <c r="C34" s="7" t="s">
        <v>20</v>
      </c>
      <c r="D34" s="8">
        <v>1</v>
      </c>
      <c r="E34" s="8">
        <v>4</v>
      </c>
      <c r="F34" s="8">
        <v>1</v>
      </c>
      <c r="G34" s="8">
        <v>0</v>
      </c>
      <c r="H34" s="9" t="s">
        <v>15</v>
      </c>
      <c r="I34" s="10">
        <f>Table1[[#This Row], [n_mpi_procs]]*Table1[[#This Row], [n_nodes]]</f>
      </c>
      <c r="J34" s="10">
        <f>Table1[[#This Row], [total_MPI_ranks]]*Table1[[#This Row], [n_omp_threads]]</f>
      </c>
      <c r="K34" s="10">
        <f>Table1[[#This Row], [n_omp_threads]]*Table1[[#This Row], [n_mpi_procs]]*Table1[[#This Row], [n_nodes]]</f>
      </c>
      <c r="L34" s="11">
        <f>Table1[[#This Row], [total_devices]]/Table1[[#This Row], [n_nodes]]</f>
      </c>
    </row>
    <row x14ac:dyDescent="0.25" r="35" customHeight="1" ht="19.5">
      <c r="A35" s="5" t="s">
        <v>19</v>
      </c>
      <c r="B35" s="6" t="s">
        <v>13</v>
      </c>
      <c r="C35" s="7" t="s">
        <v>20</v>
      </c>
      <c r="D35" s="8">
        <v>1</v>
      </c>
      <c r="E35" s="8">
        <v>8</v>
      </c>
      <c r="F35" s="8">
        <v>1</v>
      </c>
      <c r="G35" s="8">
        <v>0</v>
      </c>
      <c r="H35" s="9" t="s">
        <v>15</v>
      </c>
      <c r="I35" s="10">
        <f>Table1[[#This Row], [n_mpi_procs]]*Table1[[#This Row], [n_nodes]]</f>
      </c>
      <c r="J35" s="10">
        <f>Table1[[#This Row], [total_MPI_ranks]]*Table1[[#This Row], [n_omp_threads]]</f>
      </c>
      <c r="K35" s="10">
        <f>Table1[[#This Row], [n_omp_threads]]*Table1[[#This Row], [n_mpi_procs]]*Table1[[#This Row], [n_nodes]]</f>
      </c>
      <c r="L35" s="11">
        <f>Table1[[#This Row], [total_devices]]/Table1[[#This Row], [n_nodes]]</f>
      </c>
    </row>
    <row x14ac:dyDescent="0.25" r="36" customHeight="1" ht="19.5">
      <c r="A36" s="5" t="s">
        <v>19</v>
      </c>
      <c r="B36" s="6" t="s">
        <v>13</v>
      </c>
      <c r="C36" s="7" t="s">
        <v>20</v>
      </c>
      <c r="D36" s="8">
        <v>1</v>
      </c>
      <c r="E36" s="8">
        <v>16</v>
      </c>
      <c r="F36" s="8">
        <v>1</v>
      </c>
      <c r="G36" s="8">
        <v>0</v>
      </c>
      <c r="H36" s="9" t="s">
        <v>15</v>
      </c>
      <c r="I36" s="10">
        <f>Table1[[#This Row], [n_mpi_procs]]*Table1[[#This Row], [n_nodes]]</f>
      </c>
      <c r="J36" s="10">
        <f>Table1[[#This Row], [total_MPI_ranks]]*Table1[[#This Row], [n_omp_threads]]</f>
      </c>
      <c r="K36" s="10">
        <f>Table1[[#This Row], [n_omp_threads]]*Table1[[#This Row], [n_mpi_procs]]*Table1[[#This Row], [n_nodes]]</f>
      </c>
      <c r="L36" s="11">
        <f>Table1[[#This Row], [total_devices]]/Table1[[#This Row], [n_nodes]]</f>
      </c>
    </row>
    <row x14ac:dyDescent="0.25" r="37" customHeight="1" ht="19.5">
      <c r="A37" s="5" t="s">
        <v>19</v>
      </c>
      <c r="B37" s="6" t="s">
        <v>13</v>
      </c>
      <c r="C37" s="7" t="s">
        <v>20</v>
      </c>
      <c r="D37" s="8">
        <v>1</v>
      </c>
      <c r="E37" s="8">
        <v>32</v>
      </c>
      <c r="F37" s="8">
        <v>1</v>
      </c>
      <c r="G37" s="8">
        <v>0</v>
      </c>
      <c r="H37" s="9" t="s">
        <v>15</v>
      </c>
      <c r="I37" s="10">
        <f>Table1[[#This Row], [n_mpi_procs]]*Table1[[#This Row], [n_nodes]]</f>
      </c>
      <c r="J37" s="10">
        <f>Table1[[#This Row], [total_MPI_ranks]]*Table1[[#This Row], [n_omp_threads]]</f>
      </c>
      <c r="K37" s="10">
        <f>Table1[[#This Row], [n_omp_threads]]*Table1[[#This Row], [n_mpi_procs]]*Table1[[#This Row], [n_nodes]]</f>
      </c>
      <c r="L37" s="11">
        <f>Table1[[#This Row], [total_devices]]/Table1[[#This Row], [n_nodes]]</f>
      </c>
    </row>
    <row x14ac:dyDescent="0.25" r="38" customHeight="1" ht="19.5">
      <c r="A38" s="5" t="s">
        <v>19</v>
      </c>
      <c r="B38" s="6" t="s">
        <v>13</v>
      </c>
      <c r="C38" s="7" t="s">
        <v>20</v>
      </c>
      <c r="D38" s="8">
        <v>1</v>
      </c>
      <c r="E38" s="8">
        <v>64</v>
      </c>
      <c r="F38" s="8">
        <v>1</v>
      </c>
      <c r="G38" s="8">
        <v>0</v>
      </c>
      <c r="H38" s="9" t="s">
        <v>15</v>
      </c>
      <c r="I38" s="10">
        <f>Table1[[#This Row], [n_mpi_procs]]*Table1[[#This Row], [n_nodes]]</f>
      </c>
      <c r="J38" s="10">
        <f>Table1[[#This Row], [total_MPI_ranks]]*Table1[[#This Row], [n_omp_threads]]</f>
      </c>
      <c r="K38" s="10">
        <f>Table1[[#This Row], [n_omp_threads]]*Table1[[#This Row], [n_mpi_procs]]*Table1[[#This Row], [n_nodes]]</f>
      </c>
      <c r="L38" s="11">
        <f>Table1[[#This Row], [total_devices]]/Table1[[#This Row], [n_nodes]]</f>
      </c>
    </row>
    <row x14ac:dyDescent="0.25" r="39" customHeight="1" ht="19.5">
      <c r="A39" s="5" t="s">
        <v>19</v>
      </c>
      <c r="B39" s="6" t="s">
        <v>13</v>
      </c>
      <c r="C39" s="7" t="s">
        <v>20</v>
      </c>
      <c r="D39" s="8">
        <v>2</v>
      </c>
      <c r="E39" s="8">
        <v>64</v>
      </c>
      <c r="F39" s="8">
        <v>1</v>
      </c>
      <c r="G39" s="8">
        <v>0</v>
      </c>
      <c r="H39" s="9" t="s">
        <v>18</v>
      </c>
      <c r="I39" s="10">
        <f>Table1[[#This Row], [n_mpi_procs]]*Table1[[#This Row], [n_nodes]]</f>
      </c>
      <c r="J39" s="10">
        <f>Table1[[#This Row], [total_MPI_ranks]]*Table1[[#This Row], [n_omp_threads]]</f>
      </c>
      <c r="K39" s="10">
        <f>Table1[[#This Row], [n_omp_threads]]*Table1[[#This Row], [n_mpi_procs]]*Table1[[#This Row], [n_nodes]]</f>
      </c>
      <c r="L39" s="11">
        <f>Table1[[#This Row], [total_devices]]/Table1[[#This Row], [n_nodes]]</f>
      </c>
    </row>
    <row x14ac:dyDescent="0.25" r="40" customHeight="1" ht="18.75">
      <c r="A40" s="5" t="s">
        <v>19</v>
      </c>
      <c r="B40" s="6" t="s">
        <v>13</v>
      </c>
      <c r="C40" s="7" t="s">
        <v>20</v>
      </c>
      <c r="D40" s="8">
        <v>4</v>
      </c>
      <c r="E40" s="8">
        <v>64</v>
      </c>
      <c r="F40" s="8">
        <v>1</v>
      </c>
      <c r="G40" s="8">
        <v>0</v>
      </c>
      <c r="H40" s="9" t="s">
        <v>18</v>
      </c>
      <c r="I40" s="10">
        <f>Table1[[#This Row], [n_mpi_procs]]*Table1[[#This Row], [n_nodes]]</f>
      </c>
      <c r="J40" s="10">
        <f>Table1[[#This Row], [total_MPI_ranks]]*Table1[[#This Row], [n_omp_threads]]</f>
      </c>
      <c r="K40" s="10">
        <f>Table1[[#This Row], [n_omp_threads]]*Table1[[#This Row], [n_mpi_procs]]*Table1[[#This Row], [n_nodes]]</f>
      </c>
      <c r="L40" s="11">
        <f>Table1[[#This Row], [total_devices]]/Table1[[#This Row], [n_nodes]]</f>
      </c>
    </row>
    <row x14ac:dyDescent="0.25" r="41" customHeight="1" ht="18.75">
      <c r="A41" s="5" t="s">
        <v>19</v>
      </c>
      <c r="B41" s="6" t="s">
        <v>13</v>
      </c>
      <c r="C41" s="7" t="s">
        <v>20</v>
      </c>
      <c r="D41" s="8">
        <v>8</v>
      </c>
      <c r="E41" s="8">
        <v>64</v>
      </c>
      <c r="F41" s="8">
        <v>1</v>
      </c>
      <c r="G41" s="8">
        <v>0</v>
      </c>
      <c r="H41" s="9" t="s">
        <v>18</v>
      </c>
      <c r="I41" s="10">
        <f>Table1[[#This Row], [n_mpi_procs]]*Table1[[#This Row], [n_nodes]]</f>
      </c>
      <c r="J41" s="10">
        <f>Table1[[#This Row], [total_MPI_ranks]]*Table1[[#This Row], [n_omp_threads]]</f>
      </c>
      <c r="K41" s="10">
        <f>Table1[[#This Row], [n_omp_threads]]*Table1[[#This Row], [n_mpi_procs]]*Table1[[#This Row], [n_nodes]]</f>
      </c>
      <c r="L41" s="11">
        <f>Table1[[#This Row], [total_devices]]/Table1[[#This Row], [n_nodes]]</f>
      </c>
    </row>
    <row x14ac:dyDescent="0.25" r="42" customHeight="1" ht="18.75">
      <c r="A42" s="5" t="s">
        <v>21</v>
      </c>
      <c r="B42" s="6" t="s">
        <v>13</v>
      </c>
      <c r="C42" s="7" t="s">
        <v>22</v>
      </c>
      <c r="D42" s="8">
        <v>1</v>
      </c>
      <c r="E42" s="8">
        <v>1</v>
      </c>
      <c r="F42" s="8">
        <v>2</v>
      </c>
      <c r="G42" s="8">
        <v>0</v>
      </c>
      <c r="H42" s="9" t="s">
        <v>15</v>
      </c>
      <c r="I42" s="10">
        <f>Table1[[#This Row], [n_mpi_procs]]*Table1[[#This Row], [n_nodes]]</f>
      </c>
      <c r="J42" s="10">
        <f>Table1[[#This Row], [total_MPI_ranks]]*Table1[[#This Row], [n_omp_threads]]</f>
      </c>
      <c r="K42" s="10">
        <f>Table1[[#This Row], [n_omp_threads]]*Table1[[#This Row], [n_mpi_procs]]*Table1[[#This Row], [n_nodes]]</f>
      </c>
      <c r="L42" s="11">
        <f>Table1[[#This Row], [total_devices]]/Table1[[#This Row], [n_nodes]]</f>
      </c>
    </row>
    <row x14ac:dyDescent="0.25" r="43" customHeight="1" ht="18.75">
      <c r="A43" s="5" t="s">
        <v>21</v>
      </c>
      <c r="B43" s="6" t="s">
        <v>13</v>
      </c>
      <c r="C43" s="7" t="s">
        <v>22</v>
      </c>
      <c r="D43" s="8">
        <v>1</v>
      </c>
      <c r="E43" s="8">
        <v>1</v>
      </c>
      <c r="F43" s="8">
        <v>4</v>
      </c>
      <c r="G43" s="8">
        <v>0</v>
      </c>
      <c r="H43" s="9" t="s">
        <v>15</v>
      </c>
      <c r="I43" s="10">
        <f>Table1[[#This Row], [n_mpi_procs]]*Table1[[#This Row], [n_nodes]]</f>
      </c>
      <c r="J43" s="10">
        <f>Table1[[#This Row], [total_MPI_ranks]]*Table1[[#This Row], [n_omp_threads]]</f>
      </c>
      <c r="K43" s="10">
        <f>Table1[[#This Row], [n_omp_threads]]*Table1[[#This Row], [n_mpi_procs]]*Table1[[#This Row], [n_nodes]]</f>
      </c>
      <c r="L43" s="11">
        <f>Table1[[#This Row], [total_devices]]/Table1[[#This Row], [n_nodes]]</f>
      </c>
    </row>
    <row x14ac:dyDescent="0.25" r="44" customHeight="1" ht="18.75">
      <c r="A44" s="5" t="s">
        <v>21</v>
      </c>
      <c r="B44" s="6" t="s">
        <v>13</v>
      </c>
      <c r="C44" s="7" t="s">
        <v>22</v>
      </c>
      <c r="D44" s="8">
        <v>1</v>
      </c>
      <c r="E44" s="8">
        <v>1</v>
      </c>
      <c r="F44" s="8">
        <v>8</v>
      </c>
      <c r="G44" s="8">
        <v>0</v>
      </c>
      <c r="H44" s="9" t="s">
        <v>15</v>
      </c>
      <c r="I44" s="10">
        <f>Table1[[#This Row], [n_mpi_procs]]*Table1[[#This Row], [n_nodes]]</f>
      </c>
      <c r="J44" s="10">
        <f>Table1[[#This Row], [total_MPI_ranks]]*Table1[[#This Row], [n_omp_threads]]</f>
      </c>
      <c r="K44" s="10">
        <f>Table1[[#This Row], [n_omp_threads]]*Table1[[#This Row], [n_mpi_procs]]*Table1[[#This Row], [n_nodes]]</f>
      </c>
      <c r="L44" s="11">
        <f>Table1[[#This Row], [total_devices]]/Table1[[#This Row], [n_nodes]]</f>
      </c>
    </row>
    <row x14ac:dyDescent="0.25" r="45" customHeight="1" ht="18.75">
      <c r="A45" s="5" t="s">
        <v>21</v>
      </c>
      <c r="B45" s="6" t="s">
        <v>13</v>
      </c>
      <c r="C45" s="7" t="s">
        <v>22</v>
      </c>
      <c r="D45" s="8">
        <v>1</v>
      </c>
      <c r="E45" s="8">
        <v>1</v>
      </c>
      <c r="F45" s="8">
        <v>16</v>
      </c>
      <c r="G45" s="8">
        <v>0</v>
      </c>
      <c r="H45" s="9" t="s">
        <v>15</v>
      </c>
      <c r="I45" s="10">
        <f>Table1[[#This Row], [n_mpi_procs]]*Table1[[#This Row], [n_nodes]]</f>
      </c>
      <c r="J45" s="10">
        <f>Table1[[#This Row], [total_MPI_ranks]]*Table1[[#This Row], [n_omp_threads]]</f>
      </c>
      <c r="K45" s="10">
        <f>Table1[[#This Row], [n_omp_threads]]*Table1[[#This Row], [n_mpi_procs]]*Table1[[#This Row], [n_nodes]]</f>
      </c>
      <c r="L45" s="11">
        <f>Table1[[#This Row], [total_devices]]/Table1[[#This Row], [n_nodes]]</f>
      </c>
    </row>
    <row x14ac:dyDescent="0.25" r="46" customHeight="1" ht="18.75">
      <c r="A46" s="5" t="s">
        <v>21</v>
      </c>
      <c r="B46" s="6" t="s">
        <v>13</v>
      </c>
      <c r="C46" s="7" t="s">
        <v>22</v>
      </c>
      <c r="D46" s="8">
        <v>1</v>
      </c>
      <c r="E46" s="8">
        <v>1</v>
      </c>
      <c r="F46" s="8">
        <v>32</v>
      </c>
      <c r="G46" s="8">
        <v>0</v>
      </c>
      <c r="H46" s="9" t="s">
        <v>15</v>
      </c>
      <c r="I46" s="10">
        <f>Table1[[#This Row], [n_mpi_procs]]*Table1[[#This Row], [n_nodes]]</f>
      </c>
      <c r="J46" s="10">
        <f>Table1[[#This Row], [total_MPI_ranks]]*Table1[[#This Row], [n_omp_threads]]</f>
      </c>
      <c r="K46" s="10">
        <f>Table1[[#This Row], [n_omp_threads]]*Table1[[#This Row], [n_mpi_procs]]*Table1[[#This Row], [n_nodes]]</f>
      </c>
      <c r="L46" s="11">
        <f>Table1[[#This Row], [total_devices]]/Table1[[#This Row], [n_nodes]]</f>
      </c>
    </row>
    <row x14ac:dyDescent="0.25" r="47" customHeight="1" ht="18.75">
      <c r="A47" s="5" t="s">
        <v>21</v>
      </c>
      <c r="B47" s="6" t="s">
        <v>13</v>
      </c>
      <c r="C47" s="7" t="s">
        <v>22</v>
      </c>
      <c r="D47" s="8">
        <v>1</v>
      </c>
      <c r="E47" s="8">
        <v>1</v>
      </c>
      <c r="F47" s="8">
        <v>64</v>
      </c>
      <c r="G47" s="8">
        <v>0</v>
      </c>
      <c r="H47" s="9" t="s">
        <v>15</v>
      </c>
      <c r="I47" s="10">
        <f>Table1[[#This Row], [n_mpi_procs]]*Table1[[#This Row], [n_nodes]]</f>
      </c>
      <c r="J47" s="10">
        <f>Table1[[#This Row], [total_MPI_ranks]]*Table1[[#This Row], [n_omp_threads]]</f>
      </c>
      <c r="K47" s="10">
        <f>Table1[[#This Row], [n_omp_threads]]*Table1[[#This Row], [n_mpi_procs]]*Table1[[#This Row], [n_nodes]]</f>
      </c>
      <c r="L47" s="11">
        <f>Table1[[#This Row], [total_devices]]/Table1[[#This Row], [n_nodes]]</f>
      </c>
    </row>
    <row x14ac:dyDescent="0.25" r="48" customHeight="1" ht="18.75">
      <c r="A48" s="5" t="s">
        <v>21</v>
      </c>
      <c r="B48" s="6" t="s">
        <v>13</v>
      </c>
      <c r="C48" s="7" t="s">
        <v>22</v>
      </c>
      <c r="D48" s="8">
        <v>2</v>
      </c>
      <c r="E48" s="8">
        <v>1</v>
      </c>
      <c r="F48" s="8">
        <v>64</v>
      </c>
      <c r="G48" s="8">
        <v>0</v>
      </c>
      <c r="H48" s="9" t="s">
        <v>18</v>
      </c>
      <c r="I48" s="10">
        <f>Table1[[#This Row], [n_mpi_procs]]*Table1[[#This Row], [n_nodes]]</f>
      </c>
      <c r="J48" s="10">
        <f>Table1[[#This Row], [total_MPI_ranks]]*Table1[[#This Row], [n_omp_threads]]</f>
      </c>
      <c r="K48" s="10">
        <f>Table1[[#This Row], [n_omp_threads]]*Table1[[#This Row], [n_mpi_procs]]*Table1[[#This Row], [n_nodes]]</f>
      </c>
      <c r="L48" s="11">
        <f>Table1[[#This Row], [total_devices]]/Table1[[#This Row], [n_nodes]]</f>
      </c>
    </row>
    <row x14ac:dyDescent="0.25" r="49" customHeight="1" ht="18.75">
      <c r="A49" s="5" t="s">
        <v>21</v>
      </c>
      <c r="B49" s="6" t="s">
        <v>13</v>
      </c>
      <c r="C49" s="7" t="s">
        <v>22</v>
      </c>
      <c r="D49" s="8">
        <v>4</v>
      </c>
      <c r="E49" s="8">
        <v>1</v>
      </c>
      <c r="F49" s="8">
        <v>64</v>
      </c>
      <c r="G49" s="8">
        <v>0</v>
      </c>
      <c r="H49" s="9" t="s">
        <v>18</v>
      </c>
      <c r="I49" s="10">
        <f>Table1[[#This Row], [n_mpi_procs]]*Table1[[#This Row], [n_nodes]]</f>
      </c>
      <c r="J49" s="10">
        <f>Table1[[#This Row], [total_MPI_ranks]]*Table1[[#This Row], [n_omp_threads]]</f>
      </c>
      <c r="K49" s="10">
        <f>Table1[[#This Row], [n_omp_threads]]*Table1[[#This Row], [n_mpi_procs]]*Table1[[#This Row], [n_nodes]]</f>
      </c>
      <c r="L49" s="11">
        <f>Table1[[#This Row], [total_devices]]/Table1[[#This Row], [n_nodes]]</f>
      </c>
    </row>
    <row x14ac:dyDescent="0.25" r="50" customHeight="1" ht="18.75">
      <c r="A50" s="12" t="s">
        <v>21</v>
      </c>
      <c r="B50" s="13" t="s">
        <v>13</v>
      </c>
      <c r="C50" s="7" t="s">
        <v>22</v>
      </c>
      <c r="D50" s="14">
        <v>8</v>
      </c>
      <c r="E50" s="14">
        <v>1</v>
      </c>
      <c r="F50" s="14">
        <v>64</v>
      </c>
      <c r="G50" s="8">
        <v>0</v>
      </c>
      <c r="H50" s="9" t="s">
        <v>18</v>
      </c>
      <c r="I50" s="10">
        <f>Table1[[#This Row], [n_mpi_procs]]*Table1[[#This Row], [n_nodes]]</f>
      </c>
      <c r="J50" s="10">
        <f>Table1[[#This Row], [total_MPI_ranks]]*Table1[[#This Row], [n_omp_threads]]</f>
      </c>
      <c r="K50" s="10">
        <f>Table1[[#This Row], [n_omp_threads]]*Table1[[#This Row], [n_mpi_procs]]*Table1[[#This Row], [n_nodes]]</f>
      </c>
      <c r="L50" s="11">
        <f>Table1[[#This Row], [total_devices]]/Table1[[#This Row], [n_nodes]]</f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Summary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2026-01-22T15:40:13.907Z</dcterms:created>
  <dcterms:modified xsi:type="dcterms:W3CDTF">2026-01-22T15:40:13.907Z</dcterms:modified>
</cp:coreProperties>
</file>