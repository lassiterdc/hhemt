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F0CAA417-4FC9-4EA4-9757-9181572D5F5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I6" i="1" s="1"/>
  <c r="J6" i="1"/>
  <c r="K6" i="1" s="1"/>
  <c r="H7" i="1"/>
  <c r="I7" i="1" s="1"/>
  <c r="J7" i="1"/>
  <c r="K7" i="1" s="1"/>
  <c r="H8" i="1"/>
  <c r="I8" i="1" s="1"/>
  <c r="J8" i="1"/>
  <c r="K8" i="1" s="1"/>
  <c r="H9" i="1"/>
  <c r="I9" i="1"/>
  <c r="J9" i="1"/>
  <c r="K9" i="1" s="1"/>
  <c r="H10" i="1"/>
  <c r="I10" i="1" s="1"/>
  <c r="J10" i="1"/>
  <c r="K10" i="1" s="1"/>
  <c r="H11" i="1"/>
  <c r="I11" i="1"/>
  <c r="J11" i="1"/>
  <c r="K11" i="1" s="1"/>
  <c r="H12" i="1"/>
  <c r="I12" i="1"/>
  <c r="J12" i="1"/>
  <c r="K12" i="1" s="1"/>
  <c r="H13" i="1"/>
  <c r="I13" i="1"/>
  <c r="J13" i="1"/>
  <c r="K13" i="1" s="1"/>
  <c r="H14" i="1"/>
  <c r="I14" i="1" s="1"/>
  <c r="J14" i="1"/>
  <c r="K14" i="1" s="1"/>
  <c r="H15" i="1"/>
  <c r="I15" i="1"/>
  <c r="J15" i="1"/>
  <c r="K15" i="1" s="1"/>
  <c r="H16" i="1"/>
  <c r="I16" i="1"/>
  <c r="J16" i="1"/>
  <c r="K16" i="1"/>
  <c r="H17" i="1"/>
  <c r="I17" i="1" s="1"/>
  <c r="J17" i="1"/>
  <c r="K17" i="1" s="1"/>
  <c r="H18" i="1"/>
  <c r="I18" i="1" s="1"/>
  <c r="J18" i="1"/>
  <c r="K18" i="1" s="1"/>
  <c r="H19" i="1"/>
  <c r="I19" i="1" s="1"/>
  <c r="J19" i="1"/>
  <c r="K19" i="1"/>
  <c r="H20" i="1"/>
  <c r="I20" i="1"/>
  <c r="J20" i="1"/>
  <c r="K20" i="1" s="1"/>
  <c r="H21" i="1"/>
  <c r="I21" i="1"/>
  <c r="J21" i="1"/>
  <c r="K21" i="1" s="1"/>
  <c r="H22" i="1"/>
  <c r="I22" i="1"/>
  <c r="J22" i="1"/>
  <c r="K22" i="1" s="1"/>
  <c r="H23" i="1"/>
  <c r="I23" i="1"/>
  <c r="J23" i="1"/>
  <c r="K23" i="1" s="1"/>
  <c r="H24" i="1"/>
  <c r="I24" i="1"/>
  <c r="J24" i="1"/>
  <c r="K24" i="1" s="1"/>
  <c r="H25" i="1"/>
  <c r="I25" i="1" s="1"/>
  <c r="J25" i="1"/>
  <c r="K25" i="1"/>
  <c r="H26" i="1"/>
  <c r="I26" i="1" s="1"/>
  <c r="J26" i="1"/>
  <c r="K26" i="1" s="1"/>
  <c r="H27" i="1"/>
  <c r="I27" i="1"/>
  <c r="J27" i="1"/>
  <c r="K27" i="1" s="1"/>
  <c r="H28" i="1"/>
  <c r="I28" i="1" s="1"/>
  <c r="J28" i="1"/>
  <c r="K28" i="1" s="1"/>
  <c r="H29" i="1"/>
  <c r="I29" i="1" s="1"/>
  <c r="J29" i="1"/>
  <c r="K29" i="1" s="1"/>
  <c r="H30" i="1"/>
  <c r="I30" i="1"/>
  <c r="J30" i="1"/>
  <c r="K30" i="1" s="1"/>
  <c r="H31" i="1"/>
  <c r="I31" i="1"/>
  <c r="J31" i="1"/>
  <c r="K31" i="1" s="1"/>
  <c r="H32" i="1"/>
  <c r="I32" i="1" s="1"/>
  <c r="J32" i="1"/>
  <c r="K32" i="1" s="1"/>
  <c r="H33" i="1"/>
  <c r="I33" i="1"/>
  <c r="J33" i="1"/>
  <c r="K33" i="1" s="1"/>
  <c r="H34" i="1"/>
  <c r="I34" i="1"/>
  <c r="J34" i="1"/>
  <c r="K34" i="1"/>
  <c r="H35" i="1"/>
  <c r="I35" i="1" s="1"/>
  <c r="J35" i="1"/>
  <c r="K35" i="1" s="1"/>
  <c r="H36" i="1"/>
  <c r="I36" i="1"/>
  <c r="J36" i="1"/>
  <c r="K36" i="1" s="1"/>
  <c r="H37" i="1"/>
  <c r="I37" i="1" s="1"/>
  <c r="J37" i="1"/>
  <c r="K37" i="1"/>
  <c r="H38" i="1"/>
  <c r="I38" i="1"/>
  <c r="J38" i="1"/>
  <c r="K38" i="1" s="1"/>
  <c r="H39" i="1"/>
  <c r="I39" i="1" s="1"/>
  <c r="J39" i="1"/>
  <c r="K39" i="1" s="1"/>
  <c r="H40" i="1"/>
  <c r="I40" i="1"/>
  <c r="J40" i="1"/>
  <c r="K40" i="1"/>
  <c r="H41" i="1"/>
  <c r="I41" i="1"/>
  <c r="J41" i="1"/>
  <c r="K41" i="1" s="1"/>
  <c r="H42" i="1"/>
  <c r="I42" i="1" s="1"/>
  <c r="J42" i="1"/>
  <c r="K42" i="1" s="1"/>
  <c r="H43" i="1"/>
  <c r="I43" i="1" s="1"/>
  <c r="J43" i="1"/>
  <c r="K43" i="1" s="1"/>
  <c r="H44" i="1"/>
  <c r="I44" i="1"/>
  <c r="J44" i="1"/>
  <c r="K44" i="1" s="1"/>
  <c r="H45" i="1"/>
  <c r="I45" i="1" s="1"/>
  <c r="J45" i="1"/>
  <c r="K45" i="1" s="1"/>
  <c r="H46" i="1"/>
  <c r="I46" i="1"/>
  <c r="J46" i="1"/>
  <c r="K46" i="1"/>
  <c r="H47" i="1"/>
  <c r="I47" i="1"/>
  <c r="J47" i="1"/>
  <c r="K47" i="1" s="1"/>
  <c r="H48" i="1"/>
  <c r="I48" i="1" s="1"/>
  <c r="J48" i="1"/>
  <c r="K48" i="1" s="1"/>
  <c r="H49" i="1"/>
  <c r="I49" i="1" s="1"/>
  <c r="J49" i="1"/>
  <c r="K49" i="1"/>
  <c r="H50" i="1"/>
  <c r="I50" i="1"/>
  <c r="J50" i="1"/>
  <c r="K50" i="1" s="1"/>
  <c r="J5" i="1"/>
  <c r="K5" i="1" s="1"/>
  <c r="H5" i="1"/>
  <c r="I5" i="1" s="1"/>
  <c r="J4" i="1"/>
  <c r="K4" i="1" s="1"/>
  <c r="H4" i="1"/>
  <c r="I4" i="1" s="1"/>
  <c r="J3" i="1"/>
  <c r="K3" i="1" s="1"/>
  <c r="H3" i="1"/>
  <c r="I3" i="1" s="1"/>
  <c r="J2" i="1"/>
  <c r="K2" i="1" s="1"/>
  <c r="H2" i="1"/>
  <c r="I2" i="1" s="1"/>
</calcChain>
</file>

<file path=xl/sharedStrings.xml><?xml version="1.0" encoding="utf-8"?>
<sst xmlns="http://schemas.openxmlformats.org/spreadsheetml/2006/main" count="158" uniqueCount="20">
  <si>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</si>
  <si>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</si>
  <si>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</si>
  <si>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</si>
  <si>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</si>
  <si>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</si>
  <si>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</si>
  <si>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total_MPI_ranks</t>
  </si>
  <si>
    <t>total_OpenMP_threads</t>
  </si>
  <si>
    <t>total_devices</t>
  </si>
  <si>
    <t>devices_per_node</t>
  </si>
  <si>
    <t>Multi-CPU - MPI</t>
  </si>
  <si>
    <t>CPU</t>
  </si>
  <si>
    <t>mpi</t>
  </si>
  <si>
    <t>Multi-CPU - OMP</t>
  </si>
  <si>
    <t>openmp</t>
  </si>
  <si>
    <t>Multi-CPU - HYB</t>
  </si>
  <si>
    <t>hybrid</t>
  </si>
  <si>
    <t>Baseline - 1 CPU</t>
  </si>
  <si>
    <t>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</si>
</sst>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3" borderId="6" applyNumberFormat="0" applyAlignment="0" applyProtection="0"/>
    <xf numFmtId="0" fontId="4" fillId="2" borderId="7" applyNumberFormat="0" applyFont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3" fontId="2" fillId="3" borderId="4" xfId="0" applyNumberFormat="1" applyFont="1" applyFill="1" applyBorder="1" applyAlignment="1">
      <alignment horizontal="right"/>
    </xf>
    <xf numFmtId="3" fontId="3" fillId="4" borderId="4" xfId="0" applyNumberFormat="1" applyFont="1" applyFill="1" applyBorder="1" applyAlignment="1">
      <alignment horizontal="right"/>
    </xf>
    <xf numFmtId="3" fontId="3" fillId="4" borderId="5" xfId="0" applyNumberFormat="1" applyFont="1" applyFill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2" borderId="8" xfId="2" applyFont="1" applyBorder="1"/>
    <xf numFmtId="0" fontId="0" fillId="2" borderId="9" xfId="2" applyFont="1" applyBorder="1"/>
    <xf numFmtId="0" fontId="0" fillId="2" borderId="10" xfId="2" applyFont="1" applyBorder="1"/>
    <xf numFmtId="0" fontId="0" fillId="2" borderId="11" xfId="2" applyFont="1" applyBorder="1"/>
    <xf numFmtId="0" fontId="5" fillId="3" borderId="9" xfId="1" applyBorder="1"/>
    <xf numFmtId="0" fontId="5" fillId="3" borderId="11" xfId="1" applyBorder="1"/>
  </cellXfs>
  <cellStyles count="3">
    <cellStyle name="Input" xfId="1" builtinId="20"/>
    <cellStyle name="Normal" xfId="0" builtinId="0"/>
    <cellStyle name="Note" xfId="2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50" totalsRowShown="0">
  <autoFilter ref="A1:K50" xr:uid="{00000000-0009-0000-0100-000001000000}"/>
  <tableColumns count="11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total_MPI_ranks"/>
    <tableColumn id="9" xr3:uid="{00000000-0010-0000-0000-000009000000}" name="total_OpenMP_threads"/>
    <tableColumn id="10" xr3:uid="{00000000-0010-0000-0000-00000A000000}" name="total_devices"/>
    <tableColumn id="11" xr3:uid="{00000000-0010-0000-0000-00000B000000}" name="devices_per_nod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50"/>
  <sheetViews>
    <sheetView tabSelected="1" workbookViewId="0">
      <selection activeCell="E11" sqref="E11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15.140625" bestFit="1" customWidth="1"/>
    <col min="4" max="4" width="10.85546875" style="9" bestFit="1" customWidth="1"/>
    <col min="5" max="5" width="22.42578125" style="9" bestFit="1" customWidth="1"/>
    <col min="6" max="7" width="28.28515625" style="9" bestFit="1" customWidth="1"/>
    <col min="8" max="8" width="18.140625" style="9" bestFit="1" customWidth="1"/>
    <col min="9" max="9" width="24.7109375" style="9" bestFit="1" customWidth="1"/>
    <col min="10" max="10" width="19" style="9" bestFit="1" customWidth="1"/>
    <col min="11" max="11" width="19.85546875" style="9" bestFit="1" customWidth="1"/>
  </cols>
  <sheetData>
    <row r="1" spans="1:11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 spans="1:11" ht="19.5" customHeight="1" x14ac:dyDescent="0.25">
      <c r="A2" s="10" t="s">
        <v>18</v>
      </c>
      <c r="B2" s="11" t="s">
        <v>12</v>
      </c>
      <c r="C2" s="5" t="s">
        <v>19</v>
      </c>
      <c r="D2" s="14">
        <v>1</v>
      </c>
      <c r="E2" s="14">
        <v>1</v>
      </c>
      <c r="F2" s="14">
        <v>1</v>
      </c>
      <c r="G2" s="6">
        <v>0</v>
      </c>
      <c r="H2" s="7">
        <f>Table1[[#This Row], [n_mpi_procs]]*Table1[[#This Row], [n_nodes]]</f>
        <v>1</v>
      </c>
      <c r="I2" s="7">
        <f>Table1[[#This Row], [total_MPI_ranks]]*Table1[[#This Row], [n_omp_threads]]</f>
        <v>1</v>
      </c>
      <c r="J2" s="7">
        <f>Table1[[#This Row], [n_omp_threads]]*Table1[[#This Row], [n_mpi_procs]]*Table1[[#This Row], [n_nodes]]</f>
        <v>1</v>
      </c>
      <c r="K2" s="8">
        <f>Table1[[#This Row], [total_devices]]/Table1[[#This Row], [n_nodes]]</f>
        <v>1</v>
      </c>
    </row>
    <row r="3" spans="1:11" ht="19.5" customHeight="1" x14ac:dyDescent="0.25">
      <c r="A3" s="10" t="s">
        <v>16</v>
      </c>
      <c r="B3" s="11" t="s">
        <v>12</v>
      </c>
      <c r="C3" s="5" t="s">
        <v>17</v>
      </c>
      <c r="D3" s="14">
        <v>1</v>
      </c>
      <c r="E3" s="14">
        <v>2</v>
      </c>
      <c r="F3" s="14">
        <v>2</v>
      </c>
      <c r="G3" s="6">
        <v>0</v>
      </c>
      <c r="H3" s="7">
        <f>Table1[[#This Row], [n_mpi_procs]]*Table1[[#This Row], [n_nodes]]</f>
        <v>2</v>
      </c>
      <c r="I3" s="7">
        <f>Table1[[#This Row], [total_MPI_ranks]]*Table1[[#This Row], [n_omp_threads]]</f>
        <v>4</v>
      </c>
      <c r="J3" s="7">
        <f>Table1[[#This Row], [n_omp_threads]]*Table1[[#This Row], [n_mpi_procs]]*Table1[[#This Row], [n_nodes]]</f>
        <v>4</v>
      </c>
      <c r="K3" s="8">
        <f>Table1[[#This Row], [total_devices]]/Table1[[#This Row], [n_nodes]]</f>
        <v>4</v>
      </c>
    </row>
    <row r="4" spans="1:11" ht="19.5" customHeight="1" x14ac:dyDescent="0.25">
      <c r="A4" s="10" t="s">
        <v>16</v>
      </c>
      <c r="B4" s="11" t="s">
        <v>12</v>
      </c>
      <c r="C4" s="5" t="s">
        <v>17</v>
      </c>
      <c r="D4" s="14">
        <v>1</v>
      </c>
      <c r="E4" s="14">
        <v>2</v>
      </c>
      <c r="F4" s="14">
        <v>4</v>
      </c>
      <c r="G4" s="6">
        <v>0</v>
      </c>
      <c r="H4" s="7">
        <f>Table1[[#This Row], [n_mpi_procs]]*Table1[[#This Row], [n_nodes]]</f>
        <v>2</v>
      </c>
      <c r="I4" s="7">
        <f>Table1[[#This Row], [total_MPI_ranks]]*Table1[[#This Row], [n_omp_threads]]</f>
        <v>8</v>
      </c>
      <c r="J4" s="7">
        <f>Table1[[#This Row], [n_omp_threads]]*Table1[[#This Row], [n_mpi_procs]]*Table1[[#This Row], [n_nodes]]</f>
        <v>8</v>
      </c>
      <c r="K4" s="8">
        <f>Table1[[#This Row], [total_devices]]/Table1[[#This Row], [n_nodes]]</f>
        <v>8</v>
      </c>
    </row>
    <row r="5" spans="1:11" ht="19.5" customHeight="1" x14ac:dyDescent="0.25">
      <c r="A5" s="10" t="s">
        <v>16</v>
      </c>
      <c r="B5" s="11" t="s">
        <v>12</v>
      </c>
      <c r="C5" s="5" t="s">
        <v>17</v>
      </c>
      <c r="D5" s="14">
        <v>1</v>
      </c>
      <c r="E5" s="14">
        <v>4</v>
      </c>
      <c r="F5" s="14">
        <v>2</v>
      </c>
      <c r="G5" s="6">
        <v>0</v>
      </c>
      <c r="H5" s="7">
        <f>Table1[[#This Row], [n_mpi_procs]]*Table1[[#This Row], [n_nodes]]</f>
        <v>4</v>
      </c>
      <c r="I5" s="7">
        <f>Table1[[#This Row], [total_MPI_ranks]]*Table1[[#This Row], [n_omp_threads]]</f>
        <v>8</v>
      </c>
      <c r="J5" s="7">
        <f>Table1[[#This Row], [n_omp_threads]]*Table1[[#This Row], [n_mpi_procs]]*Table1[[#This Row], [n_nodes]]</f>
        <v>8</v>
      </c>
      <c r="K5" s="8">
        <f>Table1[[#This Row], [total_devices]]/Table1[[#This Row], [n_nodes]]</f>
        <v>8</v>
      </c>
    </row>
    <row r="6" spans="1:11" x14ac:dyDescent="0.25">
      <c r="A6" s="10" t="s">
        <v>16</v>
      </c>
      <c r="B6" s="11" t="s">
        <v>12</v>
      </c>
      <c r="C6" s="5" t="s">
        <v>17</v>
      </c>
      <c r="D6" s="14">
        <v>1</v>
      </c>
      <c r="E6" s="14">
        <v>4</v>
      </c>
      <c r="F6" s="14">
        <v>4</v>
      </c>
      <c r="G6" s="6">
        <v>0</v>
      </c>
      <c r="H6" s="7">
        <f>Table1[[#This Row], [n_mpi_procs]]*Table1[[#This Row], [n_nodes]]</f>
        <v>4</v>
      </c>
      <c r="I6" s="7">
        <f>Table1[[#This Row], [total_MPI_ranks]]*Table1[[#This Row], [n_omp_threads]]</f>
        <v>16</v>
      </c>
      <c r="J6" s="7">
        <f>Table1[[#This Row], [n_omp_threads]]*Table1[[#This Row], [n_mpi_procs]]*Table1[[#This Row], [n_nodes]]</f>
        <v>16</v>
      </c>
      <c r="K6" s="8">
        <f>Table1[[#This Row], [total_devices]]/Table1[[#This Row], [n_nodes]]</f>
        <v>16</v>
      </c>
    </row>
    <row r="7" spans="1:11" x14ac:dyDescent="0.25">
      <c r="A7" s="10" t="s">
        <v>16</v>
      </c>
      <c r="B7" s="11" t="s">
        <v>12</v>
      </c>
      <c r="C7" s="5" t="s">
        <v>17</v>
      </c>
      <c r="D7" s="14">
        <v>1</v>
      </c>
      <c r="E7" s="14">
        <v>2</v>
      </c>
      <c r="F7" s="14">
        <v>8</v>
      </c>
      <c r="G7" s="6">
        <v>0</v>
      </c>
      <c r="H7" s="7">
        <f>Table1[[#This Row], [n_mpi_procs]]*Table1[[#This Row], [n_nodes]]</f>
        <v>2</v>
      </c>
      <c r="I7" s="7">
        <f>Table1[[#This Row], [total_MPI_ranks]]*Table1[[#This Row], [n_omp_threads]]</f>
        <v>16</v>
      </c>
      <c r="J7" s="7">
        <f>Table1[[#This Row], [n_omp_threads]]*Table1[[#This Row], [n_mpi_procs]]*Table1[[#This Row], [n_nodes]]</f>
        <v>16</v>
      </c>
      <c r="K7" s="8">
        <f>Table1[[#This Row], [total_devices]]/Table1[[#This Row], [n_nodes]]</f>
        <v>16</v>
      </c>
    </row>
    <row r="8" spans="1:11" x14ac:dyDescent="0.25">
      <c r="A8" s="10" t="s">
        <v>16</v>
      </c>
      <c r="B8" s="11" t="s">
        <v>12</v>
      </c>
      <c r="C8" s="5" t="s">
        <v>17</v>
      </c>
      <c r="D8" s="14">
        <v>1</v>
      </c>
      <c r="E8" s="14">
        <v>8</v>
      </c>
      <c r="F8" s="14">
        <v>2</v>
      </c>
      <c r="G8" s="6">
        <v>0</v>
      </c>
      <c r="H8" s="7">
        <f>Table1[[#This Row], [n_mpi_procs]]*Table1[[#This Row], [n_nodes]]</f>
        <v>8</v>
      </c>
      <c r="I8" s="7">
        <f>Table1[[#This Row], [total_MPI_ranks]]*Table1[[#This Row], [n_omp_threads]]</f>
        <v>16</v>
      </c>
      <c r="J8" s="7">
        <f>Table1[[#This Row], [n_omp_threads]]*Table1[[#This Row], [n_mpi_procs]]*Table1[[#This Row], [n_nodes]]</f>
        <v>16</v>
      </c>
      <c r="K8" s="8">
        <f>Table1[[#This Row], [total_devices]]/Table1[[#This Row], [n_nodes]]</f>
        <v>16</v>
      </c>
    </row>
    <row r="9" spans="1:11" x14ac:dyDescent="0.25">
      <c r="A9" s="10" t="s">
        <v>16</v>
      </c>
      <c r="B9" s="11" t="s">
        <v>12</v>
      </c>
      <c r="C9" s="5" t="s">
        <v>17</v>
      </c>
      <c r="D9" s="14">
        <v>1</v>
      </c>
      <c r="E9" s="14">
        <v>16</v>
      </c>
      <c r="F9" s="14">
        <v>2</v>
      </c>
      <c r="G9" s="6">
        <v>0</v>
      </c>
      <c r="H9" s="7">
        <f>Table1[[#This Row], [n_mpi_procs]]*Table1[[#This Row], [n_nodes]]</f>
        <v>16</v>
      </c>
      <c r="I9" s="7">
        <f>Table1[[#This Row], [total_MPI_ranks]]*Table1[[#This Row], [n_omp_threads]]</f>
        <v>32</v>
      </c>
      <c r="J9" s="7">
        <f>Table1[[#This Row], [n_omp_threads]]*Table1[[#This Row], [n_mpi_procs]]*Table1[[#This Row], [n_nodes]]</f>
        <v>32</v>
      </c>
      <c r="K9" s="8">
        <f>Table1[[#This Row], [total_devices]]/Table1[[#This Row], [n_nodes]]</f>
        <v>32</v>
      </c>
    </row>
    <row r="10" spans="1:11" x14ac:dyDescent="0.25">
      <c r="A10" s="10" t="s">
        <v>16</v>
      </c>
      <c r="B10" s="11" t="s">
        <v>12</v>
      </c>
      <c r="C10" s="5" t="s">
        <v>17</v>
      </c>
      <c r="D10" s="14">
        <v>1</v>
      </c>
      <c r="E10" s="14">
        <v>2</v>
      </c>
      <c r="F10" s="14">
        <v>16</v>
      </c>
      <c r="G10" s="6">
        <v>0</v>
      </c>
      <c r="H10" s="7">
        <f>Table1[[#This Row], [n_mpi_procs]]*Table1[[#This Row], [n_nodes]]</f>
        <v>2</v>
      </c>
      <c r="I10" s="7">
        <f>Table1[[#This Row], [total_MPI_ranks]]*Table1[[#This Row], [n_omp_threads]]</f>
        <v>32</v>
      </c>
      <c r="J10" s="7">
        <f>Table1[[#This Row], [n_omp_threads]]*Table1[[#This Row], [n_mpi_procs]]*Table1[[#This Row], [n_nodes]]</f>
        <v>32</v>
      </c>
      <c r="K10" s="8">
        <f>Table1[[#This Row], [total_devices]]/Table1[[#This Row], [n_nodes]]</f>
        <v>32</v>
      </c>
    </row>
    <row r="11" spans="1:11" x14ac:dyDescent="0.25">
      <c r="A11" s="10" t="s">
        <v>16</v>
      </c>
      <c r="B11" s="11" t="s">
        <v>12</v>
      </c>
      <c r="C11" s="5" t="s">
        <v>17</v>
      </c>
      <c r="D11" s="14">
        <v>1</v>
      </c>
      <c r="E11" s="14">
        <v>4</v>
      </c>
      <c r="F11" s="14">
        <v>8</v>
      </c>
      <c r="G11" s="6">
        <v>0</v>
      </c>
      <c r="H11" s="7">
        <f>Table1[[#This Row], [n_mpi_procs]]*Table1[[#This Row], [n_nodes]]</f>
        <v>4</v>
      </c>
      <c r="I11" s="7">
        <f>Table1[[#This Row], [total_MPI_ranks]]*Table1[[#This Row], [n_omp_threads]]</f>
        <v>32</v>
      </c>
      <c r="J11" s="7">
        <f>Table1[[#This Row], [n_omp_threads]]*Table1[[#This Row], [n_mpi_procs]]*Table1[[#This Row], [n_nodes]]</f>
        <v>32</v>
      </c>
      <c r="K11" s="8">
        <f>Table1[[#This Row], [total_devices]]/Table1[[#This Row], [n_nodes]]</f>
        <v>32</v>
      </c>
    </row>
    <row r="12" spans="1:11" x14ac:dyDescent="0.25">
      <c r="A12" s="10" t="s">
        <v>16</v>
      </c>
      <c r="B12" s="11" t="s">
        <v>12</v>
      </c>
      <c r="C12" s="5" t="s">
        <v>17</v>
      </c>
      <c r="D12" s="14">
        <v>1</v>
      </c>
      <c r="E12" s="14">
        <v>8</v>
      </c>
      <c r="F12" s="14">
        <v>4</v>
      </c>
      <c r="G12" s="6">
        <v>0</v>
      </c>
      <c r="H12" s="7">
        <f>Table1[[#This Row], [n_mpi_procs]]*Table1[[#This Row], [n_nodes]]</f>
        <v>8</v>
      </c>
      <c r="I12" s="7">
        <f>Table1[[#This Row], [total_MPI_ranks]]*Table1[[#This Row], [n_omp_threads]]</f>
        <v>32</v>
      </c>
      <c r="J12" s="7">
        <f>Table1[[#This Row], [n_omp_threads]]*Table1[[#This Row], [n_mpi_procs]]*Table1[[#This Row], [n_nodes]]</f>
        <v>32</v>
      </c>
      <c r="K12" s="8">
        <f>Table1[[#This Row], [total_devices]]/Table1[[#This Row], [n_nodes]]</f>
        <v>32</v>
      </c>
    </row>
    <row r="13" spans="1:11" x14ac:dyDescent="0.25">
      <c r="A13" s="10" t="s">
        <v>16</v>
      </c>
      <c r="B13" s="11" t="s">
        <v>12</v>
      </c>
      <c r="C13" s="5" t="s">
        <v>17</v>
      </c>
      <c r="D13" s="14">
        <v>1</v>
      </c>
      <c r="E13" s="14">
        <v>2</v>
      </c>
      <c r="F13" s="14">
        <v>32</v>
      </c>
      <c r="G13" s="6">
        <v>0</v>
      </c>
      <c r="H13" s="7">
        <f>Table1[[#This Row], [n_mpi_procs]]*Table1[[#This Row], [n_nodes]]</f>
        <v>2</v>
      </c>
      <c r="I13" s="7">
        <f>Table1[[#This Row], [total_MPI_ranks]]*Table1[[#This Row], [n_omp_threads]]</f>
        <v>64</v>
      </c>
      <c r="J13" s="7">
        <f>Table1[[#This Row], [n_omp_threads]]*Table1[[#This Row], [n_mpi_procs]]*Table1[[#This Row], [n_nodes]]</f>
        <v>64</v>
      </c>
      <c r="K13" s="8">
        <f>Table1[[#This Row], [total_devices]]/Table1[[#This Row], [n_nodes]]</f>
        <v>64</v>
      </c>
    </row>
    <row r="14" spans="1:11" x14ac:dyDescent="0.25">
      <c r="A14" s="10" t="s">
        <v>16</v>
      </c>
      <c r="B14" s="11" t="s">
        <v>12</v>
      </c>
      <c r="C14" s="5" t="s">
        <v>17</v>
      </c>
      <c r="D14" s="14">
        <v>1</v>
      </c>
      <c r="E14" s="14">
        <v>32</v>
      </c>
      <c r="F14" s="14">
        <v>2</v>
      </c>
      <c r="G14" s="6">
        <v>0</v>
      </c>
      <c r="H14" s="7">
        <f>Table1[[#This Row], [n_mpi_procs]]*Table1[[#This Row], [n_nodes]]</f>
        <v>32</v>
      </c>
      <c r="I14" s="7">
        <f>Table1[[#This Row], [total_MPI_ranks]]*Table1[[#This Row], [n_omp_threads]]</f>
        <v>64</v>
      </c>
      <c r="J14" s="7">
        <f>Table1[[#This Row], [n_omp_threads]]*Table1[[#This Row], [n_mpi_procs]]*Table1[[#This Row], [n_nodes]]</f>
        <v>64</v>
      </c>
      <c r="K14" s="8">
        <f>Table1[[#This Row], [total_devices]]/Table1[[#This Row], [n_nodes]]</f>
        <v>64</v>
      </c>
    </row>
    <row r="15" spans="1:11" x14ac:dyDescent="0.25">
      <c r="A15" s="10" t="s">
        <v>16</v>
      </c>
      <c r="B15" s="11" t="s">
        <v>12</v>
      </c>
      <c r="C15" s="5" t="s">
        <v>17</v>
      </c>
      <c r="D15" s="14">
        <v>1</v>
      </c>
      <c r="E15" s="14">
        <v>4</v>
      </c>
      <c r="F15" s="14">
        <v>16</v>
      </c>
      <c r="G15" s="6">
        <v>0</v>
      </c>
      <c r="H15" s="7">
        <f>Table1[[#This Row], [n_mpi_procs]]*Table1[[#This Row], [n_nodes]]</f>
        <v>4</v>
      </c>
      <c r="I15" s="7">
        <f>Table1[[#This Row], [total_MPI_ranks]]*Table1[[#This Row], [n_omp_threads]]</f>
        <v>64</v>
      </c>
      <c r="J15" s="7">
        <f>Table1[[#This Row], [n_omp_threads]]*Table1[[#This Row], [n_mpi_procs]]*Table1[[#This Row], [n_nodes]]</f>
        <v>64</v>
      </c>
      <c r="K15" s="8">
        <f>Table1[[#This Row], [total_devices]]/Table1[[#This Row], [n_nodes]]</f>
        <v>64</v>
      </c>
    </row>
    <row r="16" spans="1:11" x14ac:dyDescent="0.25">
      <c r="A16" s="10" t="s">
        <v>16</v>
      </c>
      <c r="B16" s="11" t="s">
        <v>12</v>
      </c>
      <c r="C16" s="5" t="s">
        <v>17</v>
      </c>
      <c r="D16" s="14">
        <v>1</v>
      </c>
      <c r="E16" s="14">
        <v>16</v>
      </c>
      <c r="F16" s="14">
        <v>4</v>
      </c>
      <c r="G16" s="6">
        <v>0</v>
      </c>
      <c r="H16" s="7">
        <f>Table1[[#This Row], [n_mpi_procs]]*Table1[[#This Row], [n_nodes]]</f>
        <v>16</v>
      </c>
      <c r="I16" s="7">
        <f>Table1[[#This Row], [total_MPI_ranks]]*Table1[[#This Row], [n_omp_threads]]</f>
        <v>64</v>
      </c>
      <c r="J16" s="7">
        <f>Table1[[#This Row], [n_omp_threads]]*Table1[[#This Row], [n_mpi_procs]]*Table1[[#This Row], [n_nodes]]</f>
        <v>64</v>
      </c>
      <c r="K16" s="8">
        <f>Table1[[#This Row], [total_devices]]/Table1[[#This Row], [n_nodes]]</f>
        <v>64</v>
      </c>
    </row>
    <row r="17" spans="1:11" x14ac:dyDescent="0.25">
      <c r="A17" s="10" t="s">
        <v>16</v>
      </c>
      <c r="B17" s="11" t="s">
        <v>12</v>
      </c>
      <c r="C17" s="5" t="s">
        <v>17</v>
      </c>
      <c r="D17" s="14">
        <v>1</v>
      </c>
      <c r="E17" s="14">
        <v>8</v>
      </c>
      <c r="F17" s="14">
        <v>8</v>
      </c>
      <c r="G17" s="6">
        <v>0</v>
      </c>
      <c r="H17" s="7">
        <f>Table1[[#This Row], [n_mpi_procs]]*Table1[[#This Row], [n_nodes]]</f>
        <v>8</v>
      </c>
      <c r="I17" s="7">
        <f>Table1[[#This Row], [total_MPI_ranks]]*Table1[[#This Row], [n_omp_threads]]</f>
        <v>64</v>
      </c>
      <c r="J17" s="7">
        <f>Table1[[#This Row], [n_omp_threads]]*Table1[[#This Row], [n_mpi_procs]]*Table1[[#This Row], [n_nodes]]</f>
        <v>64</v>
      </c>
      <c r="K17" s="8">
        <f>Table1[[#This Row], [total_devices]]/Table1[[#This Row], [n_nodes]]</f>
        <v>64</v>
      </c>
    </row>
    <row r="18" spans="1:11" x14ac:dyDescent="0.25">
      <c r="A18" s="10" t="s">
        <v>16</v>
      </c>
      <c r="B18" s="11" t="s">
        <v>12</v>
      </c>
      <c r="C18" s="5" t="s">
        <v>17</v>
      </c>
      <c r="D18" s="14">
        <v>2</v>
      </c>
      <c r="E18" s="14">
        <v>2</v>
      </c>
      <c r="F18" s="14">
        <v>32</v>
      </c>
      <c r="G18" s="6">
        <v>0</v>
      </c>
      <c r="H18" s="7">
        <f>Table1[[#This Row], [n_mpi_procs]]*Table1[[#This Row], [n_nodes]]</f>
        <v>4</v>
      </c>
      <c r="I18" s="7">
        <f>Table1[[#This Row], [total_MPI_ranks]]*Table1[[#This Row], [n_omp_threads]]</f>
        <v>128</v>
      </c>
      <c r="J18" s="7">
        <f>Table1[[#This Row], [n_omp_threads]]*Table1[[#This Row], [n_mpi_procs]]*Table1[[#This Row], [n_nodes]]</f>
        <v>128</v>
      </c>
      <c r="K18" s="8">
        <f>Table1[[#This Row], [total_devices]]/Table1[[#This Row], [n_nodes]]</f>
        <v>64</v>
      </c>
    </row>
    <row r="19" spans="1:11" x14ac:dyDescent="0.25">
      <c r="A19" s="10" t="s">
        <v>16</v>
      </c>
      <c r="B19" s="11" t="s">
        <v>12</v>
      </c>
      <c r="C19" s="5" t="s">
        <v>17</v>
      </c>
      <c r="D19" s="14">
        <v>2</v>
      </c>
      <c r="E19" s="14">
        <v>32</v>
      </c>
      <c r="F19" s="14">
        <v>2</v>
      </c>
      <c r="G19" s="6">
        <v>0</v>
      </c>
      <c r="H19" s="7">
        <f>Table1[[#This Row], [n_mpi_procs]]*Table1[[#This Row], [n_nodes]]</f>
        <v>64</v>
      </c>
      <c r="I19" s="7">
        <f>Table1[[#This Row], [total_MPI_ranks]]*Table1[[#This Row], [n_omp_threads]]</f>
        <v>128</v>
      </c>
      <c r="J19" s="7">
        <f>Table1[[#This Row], [n_omp_threads]]*Table1[[#This Row], [n_mpi_procs]]*Table1[[#This Row], [n_nodes]]</f>
        <v>128</v>
      </c>
      <c r="K19" s="8">
        <f>Table1[[#This Row], [total_devices]]/Table1[[#This Row], [n_nodes]]</f>
        <v>64</v>
      </c>
    </row>
    <row r="20" spans="1:11" x14ac:dyDescent="0.25">
      <c r="A20" s="10" t="s">
        <v>16</v>
      </c>
      <c r="B20" s="11" t="s">
        <v>12</v>
      </c>
      <c r="C20" s="5" t="s">
        <v>17</v>
      </c>
      <c r="D20" s="14">
        <v>2</v>
      </c>
      <c r="E20" s="14">
        <v>4</v>
      </c>
      <c r="F20" s="14">
        <v>16</v>
      </c>
      <c r="G20" s="6">
        <v>0</v>
      </c>
      <c r="H20" s="7">
        <f>Table1[[#This Row], [n_mpi_procs]]*Table1[[#This Row], [n_nodes]]</f>
        <v>8</v>
      </c>
      <c r="I20" s="7">
        <f>Table1[[#This Row], [total_MPI_ranks]]*Table1[[#This Row], [n_omp_threads]]</f>
        <v>128</v>
      </c>
      <c r="J20" s="7">
        <f>Table1[[#This Row], [n_omp_threads]]*Table1[[#This Row], [n_mpi_procs]]*Table1[[#This Row], [n_nodes]]</f>
        <v>128</v>
      </c>
      <c r="K20" s="8">
        <f>Table1[[#This Row], [total_devices]]/Table1[[#This Row], [n_nodes]]</f>
        <v>64</v>
      </c>
    </row>
    <row r="21" spans="1:11" x14ac:dyDescent="0.25">
      <c r="A21" s="10" t="s">
        <v>16</v>
      </c>
      <c r="B21" s="11" t="s">
        <v>12</v>
      </c>
      <c r="C21" s="5" t="s">
        <v>17</v>
      </c>
      <c r="D21" s="14">
        <v>2</v>
      </c>
      <c r="E21" s="14">
        <v>16</v>
      </c>
      <c r="F21" s="14">
        <v>4</v>
      </c>
      <c r="G21" s="6">
        <v>0</v>
      </c>
      <c r="H21" s="7">
        <f>Table1[[#This Row], [n_mpi_procs]]*Table1[[#This Row], [n_nodes]]</f>
        <v>32</v>
      </c>
      <c r="I21" s="7">
        <f>Table1[[#This Row], [total_MPI_ranks]]*Table1[[#This Row], [n_omp_threads]]</f>
        <v>128</v>
      </c>
      <c r="J21" s="7">
        <f>Table1[[#This Row], [n_omp_threads]]*Table1[[#This Row], [n_mpi_procs]]*Table1[[#This Row], [n_nodes]]</f>
        <v>128</v>
      </c>
      <c r="K21" s="8">
        <f>Table1[[#This Row], [total_devices]]/Table1[[#This Row], [n_nodes]]</f>
        <v>64</v>
      </c>
    </row>
    <row r="22" spans="1:11" x14ac:dyDescent="0.25">
      <c r="A22" s="10" t="s">
        <v>16</v>
      </c>
      <c r="B22" s="11" t="s">
        <v>12</v>
      </c>
      <c r="C22" s="5" t="s">
        <v>17</v>
      </c>
      <c r="D22" s="14">
        <v>2</v>
      </c>
      <c r="E22" s="14">
        <v>8</v>
      </c>
      <c r="F22" s="14">
        <v>8</v>
      </c>
      <c r="G22" s="6">
        <v>0</v>
      </c>
      <c r="H22" s="7">
        <f>Table1[[#This Row], [n_mpi_procs]]*Table1[[#This Row], [n_nodes]]</f>
        <v>16</v>
      </c>
      <c r="I22" s="7">
        <f>Table1[[#This Row], [total_MPI_ranks]]*Table1[[#This Row], [n_omp_threads]]</f>
        <v>128</v>
      </c>
      <c r="J22" s="7">
        <f>Table1[[#This Row], [n_omp_threads]]*Table1[[#This Row], [n_mpi_procs]]*Table1[[#This Row], [n_nodes]]</f>
        <v>128</v>
      </c>
      <c r="K22" s="8">
        <f>Table1[[#This Row], [total_devices]]/Table1[[#This Row], [n_nodes]]</f>
        <v>64</v>
      </c>
    </row>
    <row r="23" spans="1:11" x14ac:dyDescent="0.25">
      <c r="A23" s="10" t="s">
        <v>16</v>
      </c>
      <c r="B23" s="11" t="s">
        <v>12</v>
      </c>
      <c r="C23" s="5" t="s">
        <v>17</v>
      </c>
      <c r="D23" s="14">
        <v>4</v>
      </c>
      <c r="E23" s="14">
        <v>2</v>
      </c>
      <c r="F23" s="14">
        <v>32</v>
      </c>
      <c r="G23" s="6">
        <v>0</v>
      </c>
      <c r="H23" s="7">
        <f>Table1[[#This Row], [n_mpi_procs]]*Table1[[#This Row], [n_nodes]]</f>
        <v>8</v>
      </c>
      <c r="I23" s="7">
        <f>Table1[[#This Row], [total_MPI_ranks]]*Table1[[#This Row], [n_omp_threads]]</f>
        <v>256</v>
      </c>
      <c r="J23" s="7">
        <f>Table1[[#This Row], [n_omp_threads]]*Table1[[#This Row], [n_mpi_procs]]*Table1[[#This Row], [n_nodes]]</f>
        <v>256</v>
      </c>
      <c r="K23" s="8">
        <f>Table1[[#This Row], [total_devices]]/Table1[[#This Row], [n_nodes]]</f>
        <v>64</v>
      </c>
    </row>
    <row r="24" spans="1:11" x14ac:dyDescent="0.25">
      <c r="A24" s="10" t="s">
        <v>16</v>
      </c>
      <c r="B24" s="11" t="s">
        <v>12</v>
      </c>
      <c r="C24" s="5" t="s">
        <v>17</v>
      </c>
      <c r="D24" s="14">
        <v>4</v>
      </c>
      <c r="E24" s="14">
        <v>32</v>
      </c>
      <c r="F24" s="14">
        <v>2</v>
      </c>
      <c r="G24" s="6">
        <v>0</v>
      </c>
      <c r="H24" s="7">
        <f>Table1[[#This Row], [n_mpi_procs]]*Table1[[#This Row], [n_nodes]]</f>
        <v>128</v>
      </c>
      <c r="I24" s="7">
        <f>Table1[[#This Row], [total_MPI_ranks]]*Table1[[#This Row], [n_omp_threads]]</f>
        <v>256</v>
      </c>
      <c r="J24" s="7">
        <f>Table1[[#This Row], [n_omp_threads]]*Table1[[#This Row], [n_mpi_procs]]*Table1[[#This Row], [n_nodes]]</f>
        <v>256</v>
      </c>
      <c r="K24" s="8">
        <f>Table1[[#This Row], [total_devices]]/Table1[[#This Row], [n_nodes]]</f>
        <v>64</v>
      </c>
    </row>
    <row r="25" spans="1:11" x14ac:dyDescent="0.25">
      <c r="A25" s="10" t="s">
        <v>16</v>
      </c>
      <c r="B25" s="11" t="s">
        <v>12</v>
      </c>
      <c r="C25" s="5" t="s">
        <v>17</v>
      </c>
      <c r="D25" s="14">
        <v>4</v>
      </c>
      <c r="E25" s="14">
        <v>4</v>
      </c>
      <c r="F25" s="14">
        <v>16</v>
      </c>
      <c r="G25" s="6">
        <v>0</v>
      </c>
      <c r="H25" s="7">
        <f>Table1[[#This Row], [n_mpi_procs]]*Table1[[#This Row], [n_nodes]]</f>
        <v>16</v>
      </c>
      <c r="I25" s="7">
        <f>Table1[[#This Row], [total_MPI_ranks]]*Table1[[#This Row], [n_omp_threads]]</f>
        <v>256</v>
      </c>
      <c r="J25" s="7">
        <f>Table1[[#This Row], [n_omp_threads]]*Table1[[#This Row], [n_mpi_procs]]*Table1[[#This Row], [n_nodes]]</f>
        <v>256</v>
      </c>
      <c r="K25" s="8">
        <f>Table1[[#This Row], [total_devices]]/Table1[[#This Row], [n_nodes]]</f>
        <v>64</v>
      </c>
    </row>
    <row r="26" spans="1:11" x14ac:dyDescent="0.25">
      <c r="A26" s="10" t="s">
        <v>16</v>
      </c>
      <c r="B26" s="11" t="s">
        <v>12</v>
      </c>
      <c r="C26" s="5" t="s">
        <v>17</v>
      </c>
      <c r="D26" s="14">
        <v>4</v>
      </c>
      <c r="E26" s="14">
        <v>16</v>
      </c>
      <c r="F26" s="14">
        <v>4</v>
      </c>
      <c r="G26" s="6">
        <v>0</v>
      </c>
      <c r="H26" s="7">
        <f>Table1[[#This Row], [n_mpi_procs]]*Table1[[#This Row], [n_nodes]]</f>
        <v>64</v>
      </c>
      <c r="I26" s="7">
        <f>Table1[[#This Row], [total_MPI_ranks]]*Table1[[#This Row], [n_omp_threads]]</f>
        <v>256</v>
      </c>
      <c r="J26" s="7">
        <f>Table1[[#This Row], [n_omp_threads]]*Table1[[#This Row], [n_mpi_procs]]*Table1[[#This Row], [n_nodes]]</f>
        <v>256</v>
      </c>
      <c r="K26" s="8">
        <f>Table1[[#This Row], [total_devices]]/Table1[[#This Row], [n_nodes]]</f>
        <v>64</v>
      </c>
    </row>
    <row r="27" spans="1:11" x14ac:dyDescent="0.25">
      <c r="A27" s="10" t="s">
        <v>16</v>
      </c>
      <c r="B27" s="11" t="s">
        <v>12</v>
      </c>
      <c r="C27" s="5" t="s">
        <v>17</v>
      </c>
      <c r="D27" s="14">
        <v>4</v>
      </c>
      <c r="E27" s="14">
        <v>8</v>
      </c>
      <c r="F27" s="14">
        <v>8</v>
      </c>
      <c r="G27" s="6">
        <v>0</v>
      </c>
      <c r="H27" s="7">
        <f>Table1[[#This Row], [n_mpi_procs]]*Table1[[#This Row], [n_nodes]]</f>
        <v>32</v>
      </c>
      <c r="I27" s="7">
        <f>Table1[[#This Row], [total_MPI_ranks]]*Table1[[#This Row], [n_omp_threads]]</f>
        <v>256</v>
      </c>
      <c r="J27" s="7">
        <f>Table1[[#This Row], [n_omp_threads]]*Table1[[#This Row], [n_mpi_procs]]*Table1[[#This Row], [n_nodes]]</f>
        <v>256</v>
      </c>
      <c r="K27" s="8">
        <f>Table1[[#This Row], [total_devices]]/Table1[[#This Row], [n_nodes]]</f>
        <v>64</v>
      </c>
    </row>
    <row r="28" spans="1:11" x14ac:dyDescent="0.25">
      <c r="A28" s="10" t="s">
        <v>16</v>
      </c>
      <c r="B28" s="11" t="s">
        <v>12</v>
      </c>
      <c r="C28" s="5" t="s">
        <v>17</v>
      </c>
      <c r="D28" s="14">
        <v>8</v>
      </c>
      <c r="E28" s="14">
        <v>2</v>
      </c>
      <c r="F28" s="14">
        <v>32</v>
      </c>
      <c r="G28" s="6">
        <v>0</v>
      </c>
      <c r="H28" s="7">
        <f>Table1[[#This Row], [n_mpi_procs]]*Table1[[#This Row], [n_nodes]]</f>
        <v>16</v>
      </c>
      <c r="I28" s="7">
        <f>Table1[[#This Row], [total_MPI_ranks]]*Table1[[#This Row], [n_omp_threads]]</f>
        <v>512</v>
      </c>
      <c r="J28" s="7">
        <f>Table1[[#This Row], [n_omp_threads]]*Table1[[#This Row], [n_mpi_procs]]*Table1[[#This Row], [n_nodes]]</f>
        <v>512</v>
      </c>
      <c r="K28" s="8">
        <f>Table1[[#This Row], [total_devices]]/Table1[[#This Row], [n_nodes]]</f>
        <v>64</v>
      </c>
    </row>
    <row r="29" spans="1:11" x14ac:dyDescent="0.25">
      <c r="A29" s="10" t="s">
        <v>16</v>
      </c>
      <c r="B29" s="11" t="s">
        <v>12</v>
      </c>
      <c r="C29" s="5" t="s">
        <v>17</v>
      </c>
      <c r="D29" s="14">
        <v>8</v>
      </c>
      <c r="E29" s="14">
        <v>32</v>
      </c>
      <c r="F29" s="14">
        <v>2</v>
      </c>
      <c r="G29" s="6">
        <v>0</v>
      </c>
      <c r="H29" s="7">
        <f>Table1[[#This Row], [n_mpi_procs]]*Table1[[#This Row], [n_nodes]]</f>
        <v>256</v>
      </c>
      <c r="I29" s="7">
        <f>Table1[[#This Row], [total_MPI_ranks]]*Table1[[#This Row], [n_omp_threads]]</f>
        <v>512</v>
      </c>
      <c r="J29" s="7">
        <f>Table1[[#This Row], [n_omp_threads]]*Table1[[#This Row], [n_mpi_procs]]*Table1[[#This Row], [n_nodes]]</f>
        <v>512</v>
      </c>
      <c r="K29" s="8">
        <f>Table1[[#This Row], [total_devices]]/Table1[[#This Row], [n_nodes]]</f>
        <v>64</v>
      </c>
    </row>
    <row r="30" spans="1:11" x14ac:dyDescent="0.25">
      <c r="A30" s="10" t="s">
        <v>16</v>
      </c>
      <c r="B30" s="11" t="s">
        <v>12</v>
      </c>
      <c r="C30" s="5" t="s">
        <v>17</v>
      </c>
      <c r="D30" s="14">
        <v>8</v>
      </c>
      <c r="E30" s="14">
        <v>4</v>
      </c>
      <c r="F30" s="14">
        <v>16</v>
      </c>
      <c r="G30" s="6">
        <v>0</v>
      </c>
      <c r="H30" s="7">
        <f>Table1[[#This Row], [n_mpi_procs]]*Table1[[#This Row], [n_nodes]]</f>
        <v>32</v>
      </c>
      <c r="I30" s="7">
        <f>Table1[[#This Row], [total_MPI_ranks]]*Table1[[#This Row], [n_omp_threads]]</f>
        <v>512</v>
      </c>
      <c r="J30" s="7">
        <f>Table1[[#This Row], [n_omp_threads]]*Table1[[#This Row], [n_mpi_procs]]*Table1[[#This Row], [n_nodes]]</f>
        <v>512</v>
      </c>
      <c r="K30" s="8">
        <f>Table1[[#This Row], [total_devices]]/Table1[[#This Row], [n_nodes]]</f>
        <v>64</v>
      </c>
    </row>
    <row r="31" spans="1:11" x14ac:dyDescent="0.25">
      <c r="A31" s="10" t="s">
        <v>16</v>
      </c>
      <c r="B31" s="11" t="s">
        <v>12</v>
      </c>
      <c r="C31" s="5" t="s">
        <v>17</v>
      </c>
      <c r="D31" s="14">
        <v>8</v>
      </c>
      <c r="E31" s="14">
        <v>16</v>
      </c>
      <c r="F31" s="14">
        <v>4</v>
      </c>
      <c r="G31" s="6">
        <v>0</v>
      </c>
      <c r="H31" s="7">
        <f>Table1[[#This Row], [n_mpi_procs]]*Table1[[#This Row], [n_nodes]]</f>
        <v>128</v>
      </c>
      <c r="I31" s="7">
        <f>Table1[[#This Row], [total_MPI_ranks]]*Table1[[#This Row], [n_omp_threads]]</f>
        <v>512</v>
      </c>
      <c r="J31" s="7">
        <f>Table1[[#This Row], [n_omp_threads]]*Table1[[#This Row], [n_mpi_procs]]*Table1[[#This Row], [n_nodes]]</f>
        <v>512</v>
      </c>
      <c r="K31" s="8">
        <f>Table1[[#This Row], [total_devices]]/Table1[[#This Row], [n_nodes]]</f>
        <v>64</v>
      </c>
    </row>
    <row r="32" spans="1:11" x14ac:dyDescent="0.25">
      <c r="A32" s="10" t="s">
        <v>16</v>
      </c>
      <c r="B32" s="11" t="s">
        <v>12</v>
      </c>
      <c r="C32" s="5" t="s">
        <v>17</v>
      </c>
      <c r="D32" s="14">
        <v>8</v>
      </c>
      <c r="E32" s="14">
        <v>8</v>
      </c>
      <c r="F32" s="14">
        <v>8</v>
      </c>
      <c r="G32" s="6">
        <v>0</v>
      </c>
      <c r="H32" s="7">
        <f>Table1[[#This Row], [n_mpi_procs]]*Table1[[#This Row], [n_nodes]]</f>
        <v>64</v>
      </c>
      <c r="I32" s="7">
        <f>Table1[[#This Row], [total_MPI_ranks]]*Table1[[#This Row], [n_omp_threads]]</f>
        <v>512</v>
      </c>
      <c r="J32" s="7">
        <f>Table1[[#This Row], [n_omp_threads]]*Table1[[#This Row], [n_mpi_procs]]*Table1[[#This Row], [n_nodes]]</f>
        <v>512</v>
      </c>
      <c r="K32" s="8">
        <f>Table1[[#This Row], [total_devices]]/Table1[[#This Row], [n_nodes]]</f>
        <v>64</v>
      </c>
    </row>
    <row r="33" spans="1:11" x14ac:dyDescent="0.25">
      <c r="A33" s="10" t="s">
        <v>11</v>
      </c>
      <c r="B33" s="11" t="s">
        <v>12</v>
      </c>
      <c r="C33" s="5" t="s">
        <v>13</v>
      </c>
      <c r="D33" s="14">
        <v>1</v>
      </c>
      <c r="E33" s="14">
        <v>2</v>
      </c>
      <c r="F33" s="14">
        <v>1</v>
      </c>
      <c r="G33" s="6">
        <v>0</v>
      </c>
      <c r="H33" s="7">
        <f>Table1[[#This Row], [n_mpi_procs]]*Table1[[#This Row], [n_nodes]]</f>
        <v>2</v>
      </c>
      <c r="I33" s="7">
        <f>Table1[[#This Row], [total_MPI_ranks]]*Table1[[#This Row], [n_omp_threads]]</f>
        <v>2</v>
      </c>
      <c r="J33" s="7">
        <f>Table1[[#This Row], [n_omp_threads]]*Table1[[#This Row], [n_mpi_procs]]*Table1[[#This Row], [n_nodes]]</f>
        <v>2</v>
      </c>
      <c r="K33" s="8">
        <f>Table1[[#This Row], [total_devices]]/Table1[[#This Row], [n_nodes]]</f>
        <v>2</v>
      </c>
    </row>
    <row r="34" spans="1:11" x14ac:dyDescent="0.25">
      <c r="A34" s="10" t="s">
        <v>11</v>
      </c>
      <c r="B34" s="11" t="s">
        <v>12</v>
      </c>
      <c r="C34" s="5" t="s">
        <v>13</v>
      </c>
      <c r="D34" s="14">
        <v>1</v>
      </c>
      <c r="E34" s="14">
        <v>4</v>
      </c>
      <c r="F34" s="14">
        <v>1</v>
      </c>
      <c r="G34" s="6">
        <v>0</v>
      </c>
      <c r="H34" s="7">
        <f>Table1[[#This Row], [n_mpi_procs]]*Table1[[#This Row], [n_nodes]]</f>
        <v>4</v>
      </c>
      <c r="I34" s="7">
        <f>Table1[[#This Row], [total_MPI_ranks]]*Table1[[#This Row], [n_omp_threads]]</f>
        <v>4</v>
      </c>
      <c r="J34" s="7">
        <f>Table1[[#This Row], [n_omp_threads]]*Table1[[#This Row], [n_mpi_procs]]*Table1[[#This Row], [n_nodes]]</f>
        <v>4</v>
      </c>
      <c r="K34" s="8">
        <f>Table1[[#This Row], [total_devices]]/Table1[[#This Row], [n_nodes]]</f>
        <v>4</v>
      </c>
    </row>
    <row r="35" spans="1:11" x14ac:dyDescent="0.25">
      <c r="A35" s="10" t="s">
        <v>11</v>
      </c>
      <c r="B35" s="11" t="s">
        <v>12</v>
      </c>
      <c r="C35" s="5" t="s">
        <v>13</v>
      </c>
      <c r="D35" s="14">
        <v>1</v>
      </c>
      <c r="E35" s="14">
        <v>8</v>
      </c>
      <c r="F35" s="14">
        <v>1</v>
      </c>
      <c r="G35" s="6">
        <v>0</v>
      </c>
      <c r="H35" s="7">
        <f>Table1[[#This Row], [n_mpi_procs]]*Table1[[#This Row], [n_nodes]]</f>
        <v>8</v>
      </c>
      <c r="I35" s="7">
        <f>Table1[[#This Row], [total_MPI_ranks]]*Table1[[#This Row], [n_omp_threads]]</f>
        <v>8</v>
      </c>
      <c r="J35" s="7">
        <f>Table1[[#This Row], [n_omp_threads]]*Table1[[#This Row], [n_mpi_procs]]*Table1[[#This Row], [n_nodes]]</f>
        <v>8</v>
      </c>
      <c r="K35" s="8">
        <f>Table1[[#This Row], [total_devices]]/Table1[[#This Row], [n_nodes]]</f>
        <v>8</v>
      </c>
    </row>
    <row r="36" spans="1:11" x14ac:dyDescent="0.25">
      <c r="A36" s="10" t="s">
        <v>11</v>
      </c>
      <c r="B36" s="11" t="s">
        <v>12</v>
      </c>
      <c r="C36" s="5" t="s">
        <v>13</v>
      </c>
      <c r="D36" s="14">
        <v>1</v>
      </c>
      <c r="E36" s="14">
        <v>16</v>
      </c>
      <c r="F36" s="14">
        <v>1</v>
      </c>
      <c r="G36" s="6">
        <v>0</v>
      </c>
      <c r="H36" s="7">
        <f>Table1[[#This Row], [n_mpi_procs]]*Table1[[#This Row], [n_nodes]]</f>
        <v>16</v>
      </c>
      <c r="I36" s="7">
        <f>Table1[[#This Row], [total_MPI_ranks]]*Table1[[#This Row], [n_omp_threads]]</f>
        <v>16</v>
      </c>
      <c r="J36" s="7">
        <f>Table1[[#This Row], [n_omp_threads]]*Table1[[#This Row], [n_mpi_procs]]*Table1[[#This Row], [n_nodes]]</f>
        <v>16</v>
      </c>
      <c r="K36" s="8">
        <f>Table1[[#This Row], [total_devices]]/Table1[[#This Row], [n_nodes]]</f>
        <v>16</v>
      </c>
    </row>
    <row r="37" spans="1:11" x14ac:dyDescent="0.25">
      <c r="A37" s="10" t="s">
        <v>11</v>
      </c>
      <c r="B37" s="11" t="s">
        <v>12</v>
      </c>
      <c r="C37" s="5" t="s">
        <v>13</v>
      </c>
      <c r="D37" s="14">
        <v>1</v>
      </c>
      <c r="E37" s="14">
        <v>32</v>
      </c>
      <c r="F37" s="14">
        <v>1</v>
      </c>
      <c r="G37" s="6">
        <v>0</v>
      </c>
      <c r="H37" s="7">
        <f>Table1[[#This Row], [n_mpi_procs]]*Table1[[#This Row], [n_nodes]]</f>
        <v>32</v>
      </c>
      <c r="I37" s="7">
        <f>Table1[[#This Row], [total_MPI_ranks]]*Table1[[#This Row], [n_omp_threads]]</f>
        <v>32</v>
      </c>
      <c r="J37" s="7">
        <f>Table1[[#This Row], [n_omp_threads]]*Table1[[#This Row], [n_mpi_procs]]*Table1[[#This Row], [n_nodes]]</f>
        <v>32</v>
      </c>
      <c r="K37" s="8">
        <f>Table1[[#This Row], [total_devices]]/Table1[[#This Row], [n_nodes]]</f>
        <v>32</v>
      </c>
    </row>
    <row r="38" spans="1:11" x14ac:dyDescent="0.25">
      <c r="A38" s="10" t="s">
        <v>11</v>
      </c>
      <c r="B38" s="11" t="s">
        <v>12</v>
      </c>
      <c r="C38" s="5" t="s">
        <v>13</v>
      </c>
      <c r="D38" s="14">
        <v>1</v>
      </c>
      <c r="E38" s="14">
        <v>64</v>
      </c>
      <c r="F38" s="14">
        <v>1</v>
      </c>
      <c r="G38" s="6">
        <v>0</v>
      </c>
      <c r="H38" s="7">
        <f>Table1[[#This Row], [n_mpi_procs]]*Table1[[#This Row], [n_nodes]]</f>
        <v>64</v>
      </c>
      <c r="I38" s="7">
        <f>Table1[[#This Row], [total_MPI_ranks]]*Table1[[#This Row], [n_omp_threads]]</f>
        <v>64</v>
      </c>
      <c r="J38" s="7">
        <f>Table1[[#This Row], [n_omp_threads]]*Table1[[#This Row], [n_mpi_procs]]*Table1[[#This Row], [n_nodes]]</f>
        <v>64</v>
      </c>
      <c r="K38" s="8">
        <f>Table1[[#This Row], [total_devices]]/Table1[[#This Row], [n_nodes]]</f>
        <v>64</v>
      </c>
    </row>
    <row r="39" spans="1:11" x14ac:dyDescent="0.25">
      <c r="A39" s="10" t="s">
        <v>11</v>
      </c>
      <c r="B39" s="11" t="s">
        <v>12</v>
      </c>
      <c r="C39" s="5" t="s">
        <v>13</v>
      </c>
      <c r="D39" s="14">
        <v>2</v>
      </c>
      <c r="E39" s="14">
        <v>64</v>
      </c>
      <c r="F39" s="14">
        <v>1</v>
      </c>
      <c r="G39" s="6">
        <v>0</v>
      </c>
      <c r="H39" s="7">
        <f>Table1[[#This Row], [n_mpi_procs]]*Table1[[#This Row], [n_nodes]]</f>
        <v>128</v>
      </c>
      <c r="I39" s="7">
        <f>Table1[[#This Row], [total_MPI_ranks]]*Table1[[#This Row], [n_omp_threads]]</f>
        <v>128</v>
      </c>
      <c r="J39" s="7">
        <f>Table1[[#This Row], [n_omp_threads]]*Table1[[#This Row], [n_mpi_procs]]*Table1[[#This Row], [n_nodes]]</f>
        <v>128</v>
      </c>
      <c r="K39" s="8">
        <f>Table1[[#This Row], [total_devices]]/Table1[[#This Row], [n_nodes]]</f>
        <v>64</v>
      </c>
    </row>
    <row r="40" spans="1:11" x14ac:dyDescent="0.25">
      <c r="A40" s="10" t="s">
        <v>11</v>
      </c>
      <c r="B40" s="11" t="s">
        <v>12</v>
      </c>
      <c r="C40" s="5" t="s">
        <v>13</v>
      </c>
      <c r="D40" s="14">
        <v>4</v>
      </c>
      <c r="E40" s="14">
        <v>64</v>
      </c>
      <c r="F40" s="14">
        <v>1</v>
      </c>
      <c r="G40" s="6">
        <v>0</v>
      </c>
      <c r="H40" s="7">
        <f>Table1[[#This Row], [n_mpi_procs]]*Table1[[#This Row], [n_nodes]]</f>
        <v>256</v>
      </c>
      <c r="I40" s="7">
        <f>Table1[[#This Row], [total_MPI_ranks]]*Table1[[#This Row], [n_omp_threads]]</f>
        <v>256</v>
      </c>
      <c r="J40" s="7">
        <f>Table1[[#This Row], [n_omp_threads]]*Table1[[#This Row], [n_mpi_procs]]*Table1[[#This Row], [n_nodes]]</f>
        <v>256</v>
      </c>
      <c r="K40" s="8">
        <f>Table1[[#This Row], [total_devices]]/Table1[[#This Row], [n_nodes]]</f>
        <v>64</v>
      </c>
    </row>
    <row r="41" spans="1:11" x14ac:dyDescent="0.25">
      <c r="A41" s="10" t="s">
        <v>11</v>
      </c>
      <c r="B41" s="11" t="s">
        <v>12</v>
      </c>
      <c r="C41" s="5" t="s">
        <v>13</v>
      </c>
      <c r="D41" s="14">
        <v>8</v>
      </c>
      <c r="E41" s="14">
        <v>64</v>
      </c>
      <c r="F41" s="14">
        <v>1</v>
      </c>
      <c r="G41" s="6">
        <v>0</v>
      </c>
      <c r="H41" s="7">
        <f>Table1[[#This Row], [n_mpi_procs]]*Table1[[#This Row], [n_nodes]]</f>
        <v>512</v>
      </c>
      <c r="I41" s="7">
        <f>Table1[[#This Row], [total_MPI_ranks]]*Table1[[#This Row], [n_omp_threads]]</f>
        <v>512</v>
      </c>
      <c r="J41" s="7">
        <f>Table1[[#This Row], [n_omp_threads]]*Table1[[#This Row], [n_mpi_procs]]*Table1[[#This Row], [n_nodes]]</f>
        <v>512</v>
      </c>
      <c r="K41" s="8">
        <f>Table1[[#This Row], [total_devices]]/Table1[[#This Row], [n_nodes]]</f>
        <v>64</v>
      </c>
    </row>
    <row r="42" spans="1:11" x14ac:dyDescent="0.25">
      <c r="A42" s="10" t="s">
        <v>14</v>
      </c>
      <c r="B42" s="11" t="s">
        <v>12</v>
      </c>
      <c r="C42" s="5" t="s">
        <v>15</v>
      </c>
      <c r="D42" s="14">
        <v>1</v>
      </c>
      <c r="E42" s="14">
        <v>1</v>
      </c>
      <c r="F42" s="14">
        <v>2</v>
      </c>
      <c r="G42" s="6">
        <v>0</v>
      </c>
      <c r="H42" s="7">
        <f>Table1[[#This Row], [n_mpi_procs]]*Table1[[#This Row], [n_nodes]]</f>
        <v>1</v>
      </c>
      <c r="I42" s="7">
        <f>Table1[[#This Row], [total_MPI_ranks]]*Table1[[#This Row], [n_omp_threads]]</f>
        <v>2</v>
      </c>
      <c r="J42" s="7">
        <f>Table1[[#This Row], [n_omp_threads]]*Table1[[#This Row], [n_mpi_procs]]*Table1[[#This Row], [n_nodes]]</f>
        <v>2</v>
      </c>
      <c r="K42" s="8">
        <f>Table1[[#This Row], [total_devices]]/Table1[[#This Row], [n_nodes]]</f>
        <v>2</v>
      </c>
    </row>
    <row r="43" spans="1:11" x14ac:dyDescent="0.25">
      <c r="A43" s="10" t="s">
        <v>14</v>
      </c>
      <c r="B43" s="11" t="s">
        <v>12</v>
      </c>
      <c r="C43" s="5" t="s">
        <v>15</v>
      </c>
      <c r="D43" s="14">
        <v>1</v>
      </c>
      <c r="E43" s="14">
        <v>1</v>
      </c>
      <c r="F43" s="14">
        <v>4</v>
      </c>
      <c r="G43" s="6">
        <v>0</v>
      </c>
      <c r="H43" s="7">
        <f>Table1[[#This Row], [n_mpi_procs]]*Table1[[#This Row], [n_nodes]]</f>
        <v>1</v>
      </c>
      <c r="I43" s="7">
        <f>Table1[[#This Row], [total_MPI_ranks]]*Table1[[#This Row], [n_omp_threads]]</f>
        <v>4</v>
      </c>
      <c r="J43" s="7">
        <f>Table1[[#This Row], [n_omp_threads]]*Table1[[#This Row], [n_mpi_procs]]*Table1[[#This Row], [n_nodes]]</f>
        <v>4</v>
      </c>
      <c r="K43" s="8">
        <f>Table1[[#This Row], [total_devices]]/Table1[[#This Row], [n_nodes]]</f>
        <v>4</v>
      </c>
    </row>
    <row r="44" spans="1:11" x14ac:dyDescent="0.25">
      <c r="A44" s="10" t="s">
        <v>14</v>
      </c>
      <c r="B44" s="11" t="s">
        <v>12</v>
      </c>
      <c r="C44" s="5" t="s">
        <v>15</v>
      </c>
      <c r="D44" s="14">
        <v>1</v>
      </c>
      <c r="E44" s="14">
        <v>1</v>
      </c>
      <c r="F44" s="14">
        <v>8</v>
      </c>
      <c r="G44" s="6">
        <v>0</v>
      </c>
      <c r="H44" s="7">
        <f>Table1[[#This Row], [n_mpi_procs]]*Table1[[#This Row], [n_nodes]]</f>
        <v>1</v>
      </c>
      <c r="I44" s="7">
        <f>Table1[[#This Row], [total_MPI_ranks]]*Table1[[#This Row], [n_omp_threads]]</f>
        <v>8</v>
      </c>
      <c r="J44" s="7">
        <f>Table1[[#This Row], [n_omp_threads]]*Table1[[#This Row], [n_mpi_procs]]*Table1[[#This Row], [n_nodes]]</f>
        <v>8</v>
      </c>
      <c r="K44" s="8">
        <f>Table1[[#This Row], [total_devices]]/Table1[[#This Row], [n_nodes]]</f>
        <v>8</v>
      </c>
    </row>
    <row r="45" spans="1:11" x14ac:dyDescent="0.25">
      <c r="A45" s="10" t="s">
        <v>14</v>
      </c>
      <c r="B45" s="11" t="s">
        <v>12</v>
      </c>
      <c r="C45" s="5" t="s">
        <v>15</v>
      </c>
      <c r="D45" s="14">
        <v>1</v>
      </c>
      <c r="E45" s="14">
        <v>1</v>
      </c>
      <c r="F45" s="14">
        <v>16</v>
      </c>
      <c r="G45" s="6">
        <v>0</v>
      </c>
      <c r="H45" s="7">
        <f>Table1[[#This Row], [n_mpi_procs]]*Table1[[#This Row], [n_nodes]]</f>
        <v>1</v>
      </c>
      <c r="I45" s="7">
        <f>Table1[[#This Row], [total_MPI_ranks]]*Table1[[#This Row], [n_omp_threads]]</f>
        <v>16</v>
      </c>
      <c r="J45" s="7">
        <f>Table1[[#This Row], [n_omp_threads]]*Table1[[#This Row], [n_mpi_procs]]*Table1[[#This Row], [n_nodes]]</f>
        <v>16</v>
      </c>
      <c r="K45" s="8">
        <f>Table1[[#This Row], [total_devices]]/Table1[[#This Row], [n_nodes]]</f>
        <v>16</v>
      </c>
    </row>
    <row r="46" spans="1:11" x14ac:dyDescent="0.25">
      <c r="A46" s="10" t="s">
        <v>14</v>
      </c>
      <c r="B46" s="11" t="s">
        <v>12</v>
      </c>
      <c r="C46" s="5" t="s">
        <v>15</v>
      </c>
      <c r="D46" s="14">
        <v>1</v>
      </c>
      <c r="E46" s="14">
        <v>1</v>
      </c>
      <c r="F46" s="14">
        <v>32</v>
      </c>
      <c r="G46" s="6">
        <v>0</v>
      </c>
      <c r="H46" s="7">
        <f>Table1[[#This Row], [n_mpi_procs]]*Table1[[#This Row], [n_nodes]]</f>
        <v>1</v>
      </c>
      <c r="I46" s="7">
        <f>Table1[[#This Row], [total_MPI_ranks]]*Table1[[#This Row], [n_omp_threads]]</f>
        <v>32</v>
      </c>
      <c r="J46" s="7">
        <f>Table1[[#This Row], [n_omp_threads]]*Table1[[#This Row], [n_mpi_procs]]*Table1[[#This Row], [n_nodes]]</f>
        <v>32</v>
      </c>
      <c r="K46" s="8">
        <f>Table1[[#This Row], [total_devices]]/Table1[[#This Row], [n_nodes]]</f>
        <v>32</v>
      </c>
    </row>
    <row r="47" spans="1:11" x14ac:dyDescent="0.25">
      <c r="A47" s="10" t="s">
        <v>14</v>
      </c>
      <c r="B47" s="11" t="s">
        <v>12</v>
      </c>
      <c r="C47" s="5" t="s">
        <v>15</v>
      </c>
      <c r="D47" s="14">
        <v>1</v>
      </c>
      <c r="E47" s="14">
        <v>1</v>
      </c>
      <c r="F47" s="14">
        <v>64</v>
      </c>
      <c r="G47" s="6">
        <v>0</v>
      </c>
      <c r="H47" s="7">
        <f>Table1[[#This Row], [n_mpi_procs]]*Table1[[#This Row], [n_nodes]]</f>
        <v>1</v>
      </c>
      <c r="I47" s="7">
        <f>Table1[[#This Row], [total_MPI_ranks]]*Table1[[#This Row], [n_omp_threads]]</f>
        <v>64</v>
      </c>
      <c r="J47" s="7">
        <f>Table1[[#This Row], [n_omp_threads]]*Table1[[#This Row], [n_mpi_procs]]*Table1[[#This Row], [n_nodes]]</f>
        <v>64</v>
      </c>
      <c r="K47" s="8">
        <f>Table1[[#This Row], [total_devices]]/Table1[[#This Row], [n_nodes]]</f>
        <v>64</v>
      </c>
    </row>
    <row r="48" spans="1:11" x14ac:dyDescent="0.25">
      <c r="A48" s="10" t="s">
        <v>14</v>
      </c>
      <c r="B48" s="11" t="s">
        <v>12</v>
      </c>
      <c r="C48" s="5" t="s">
        <v>15</v>
      </c>
      <c r="D48" s="14">
        <v>2</v>
      </c>
      <c r="E48" s="14">
        <v>1</v>
      </c>
      <c r="F48" s="14">
        <v>64</v>
      </c>
      <c r="G48" s="6">
        <v>0</v>
      </c>
      <c r="H48" s="7">
        <f>Table1[[#This Row], [n_mpi_procs]]*Table1[[#This Row], [n_nodes]]</f>
        <v>2</v>
      </c>
      <c r="I48" s="7">
        <f>Table1[[#This Row], [total_MPI_ranks]]*Table1[[#This Row], [n_omp_threads]]</f>
        <v>128</v>
      </c>
      <c r="J48" s="7">
        <f>Table1[[#This Row], [n_omp_threads]]*Table1[[#This Row], [n_mpi_procs]]*Table1[[#This Row], [n_nodes]]</f>
        <v>128</v>
      </c>
      <c r="K48" s="8">
        <f>Table1[[#This Row], [total_devices]]/Table1[[#This Row], [n_nodes]]</f>
        <v>64</v>
      </c>
    </row>
    <row r="49" spans="1:11" x14ac:dyDescent="0.25">
      <c r="A49" s="10" t="s">
        <v>14</v>
      </c>
      <c r="B49" s="11" t="s">
        <v>12</v>
      </c>
      <c r="C49" s="5" t="s">
        <v>15</v>
      </c>
      <c r="D49" s="14">
        <v>4</v>
      </c>
      <c r="E49" s="14">
        <v>1</v>
      </c>
      <c r="F49" s="14">
        <v>64</v>
      </c>
      <c r="G49" s="6">
        <v>0</v>
      </c>
      <c r="H49" s="7">
        <f>Table1[[#This Row], [n_mpi_procs]]*Table1[[#This Row], [n_nodes]]</f>
        <v>4</v>
      </c>
      <c r="I49" s="7">
        <f>Table1[[#This Row], [total_MPI_ranks]]*Table1[[#This Row], [n_omp_threads]]</f>
        <v>256</v>
      </c>
      <c r="J49" s="7">
        <f>Table1[[#This Row], [n_omp_threads]]*Table1[[#This Row], [n_mpi_procs]]*Table1[[#This Row], [n_nodes]]</f>
        <v>256</v>
      </c>
      <c r="K49" s="8">
        <f>Table1[[#This Row], [total_devices]]/Table1[[#This Row], [n_nodes]]</f>
        <v>64</v>
      </c>
    </row>
    <row r="50" spans="1:11" x14ac:dyDescent="0.25">
      <c r="A50" s="12" t="s">
        <v>14</v>
      </c>
      <c r="B50" s="13" t="s">
        <v>12</v>
      </c>
      <c r="C50" s="5" t="s">
        <v>15</v>
      </c>
      <c r="D50" s="15">
        <v>8</v>
      </c>
      <c r="E50" s="15">
        <v>1</v>
      </c>
      <c r="F50" s="15">
        <v>64</v>
      </c>
      <c r="G50" s="6">
        <v>0</v>
      </c>
      <c r="H50" s="7">
        <f>Table1[[#This Row], [n_mpi_procs]]*Table1[[#This Row], [n_nodes]]</f>
        <v>8</v>
      </c>
      <c r="I50" s="7">
        <f>Table1[[#This Row], [total_MPI_ranks]]*Table1[[#This Row], [n_omp_threads]]</f>
        <v>512</v>
      </c>
      <c r="J50" s="7">
        <f>Table1[[#This Row], [n_omp_threads]]*Table1[[#This Row], [n_mpi_procs]]*Table1[[#This Row], [n_nodes]]</f>
        <v>512</v>
      </c>
      <c r="K50" s="8">
        <f>Table1[[#This Row], [total_devices]]/Table1[[#This Row], [n_nodes]]</f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2026-01-20T14:41:09Z</dcterms:created>
  <dcterms:modified xsi:type="dcterms:W3CDTF">2026-01-22T14:51:00Z</dcterms:modified>
</cp:coreProperties>
</file>