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6AB5F63B-1FFA-415E-AFAF-ACF7D8F44D6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L7" i="1"/>
  <c r="K7" i="1"/>
  <c r="J7" i="1"/>
  <c r="J3" i="1"/>
  <c r="K3" i="1"/>
  <c r="L3" i="1" s="1"/>
  <c r="M3" i="1"/>
  <c r="M2" i="1"/>
  <c r="K2" i="1"/>
  <c r="L2" i="1" s="1"/>
  <c r="J2" i="1"/>
  <c r="M6" i="1"/>
  <c r="K6" i="1"/>
  <c r="L6" i="1" s="1"/>
  <c r="J6" i="1"/>
  <c r="M5" i="1"/>
  <c r="K5" i="1"/>
  <c r="L5" i="1" s="1"/>
  <c r="J5" i="1"/>
  <c r="M4" i="1"/>
  <c r="K4" i="1"/>
  <c r="L4" i="1" s="1"/>
  <c r="J4" i="1"/>
</calcChain>
</file>

<file path=xl/sharedStrings.xml><?xml version="1.0" encoding="utf-8"?>
<sst xmlns="http://schemas.openxmlformats.org/spreadsheetml/2006/main" count="37" uniqueCount="15">
  <si>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</si>
  <si>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</si>
  <si>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</si>
  <si>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</si>
  <si>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</si>
  <si>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</si>
  <si>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</si>
  <si>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</si>
  <si>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</si>
  <si>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</si>
  <si>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</si>
  <si>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GPU</t>
  </si>
  <si>
    <t>gpu</t>
  </si>
  <si>
    <t>mem_gb_per_cpu</t>
  </si>
  <si>
    <t>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</si>
</sst>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CC99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1" fillId="2" borderId="7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3" borderId="8" xfId="0" applyFont="1" applyFill="1" applyBorder="1" applyAlignment="1">
      <alignment horizontal="right"/>
    </xf>
    <xf numFmtId="3" fontId="3" fillId="3" borderId="8" xfId="0" applyNumberFormat="1" applyFont="1" applyFill="1" applyBorder="1" applyAlignment="1">
      <alignment horizontal="right"/>
    </xf>
    <xf numFmtId="0" fontId="3" fillId="3" borderId="8" xfId="0" applyFont="1" applyFill="1" applyBorder="1" applyAlignment="1">
      <alignment horizontal="left"/>
    </xf>
    <xf numFmtId="0" fontId="3" fillId="5" borderId="8" xfId="0" applyFont="1" applyFill="1" applyBorder="1" applyAlignment="1">
      <alignment horizontal="left"/>
    </xf>
    <xf numFmtId="3" fontId="4" fillId="4" borderId="8" xfId="0" applyNumberFormat="1" applyFont="1" applyFill="1" applyBorder="1" applyAlignment="1">
      <alignment horizontal="right"/>
    </xf>
    <xf numFmtId="3" fontId="4" fillId="4" borderId="9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7" totalsRowShown="0">
  <autoFilter ref="A1:M7" xr:uid="{00000000-0009-0000-0100-000001000000}"/>
  <sortState xmlns:xlrd2="http://schemas.microsoft.com/office/spreadsheetml/2017/richdata2" ref="A2:M6">
    <sortCondition ref="M1:M6"/>
  </sortState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7"/>
  <sheetViews>
    <sheetView tabSelected="1" workbookViewId="0">
      <selection activeCell="D13" sqref="D13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13</v>
      </c>
      <c r="J1" s="5" t="s">
        <v>8</v>
      </c>
      <c r="K1" s="5" t="s">
        <v>9</v>
      </c>
      <c r="L1" s="6" t="s">
        <v>10</v>
      </c>
      <c r="M1" s="2" t="s">
        <v>14</v>
      </c>
    </row>
    <row r="2" spans="1:13" ht="18.75" customHeight="1" x14ac:dyDescent="0.25">
      <c r="A2" s="7" t="s">
        <v>11</v>
      </c>
      <c r="B2" s="8" t="s">
        <v>11</v>
      </c>
      <c r="C2" s="9" t="s">
        <v>12</v>
      </c>
      <c r="D2" s="10">
        <v>1</v>
      </c>
      <c r="E2" s="10">
        <v>1</v>
      </c>
      <c r="F2" s="10">
        <v>1</v>
      </c>
      <c r="G2" s="10">
        <v>1</v>
      </c>
      <c r="H2" s="11" t="s">
        <v>12</v>
      </c>
      <c r="I2" s="11">
        <v>8</v>
      </c>
      <c r="J2" s="12">
        <f>Table1[[#This Row], [n_mpi_procs]]*Table1[[#This Row], [n_omp_threads]]</f>
        <v>1</v>
      </c>
      <c r="K2" s="12">
        <f>Table1[[#This Row], [n_omp_threads]]*Table1[[#This Row], [n_mpi_procs]]</f>
        <v>1</v>
      </c>
      <c r="L2" s="13">
        <f>Table1[[#This Row], [total_devices]]/Table1[[#This Row], [n_nodes]]</f>
        <v>1</v>
      </c>
      <c r="M2" t="b">
        <f>Table1[[#This Row], [n_mpi_procs]]&gt;=Table1[[#This Row], [n_nodes]]</f>
        <v>1</v>
      </c>
    </row>
    <row r="3" spans="1:13" ht="18.75" customHeight="1" x14ac:dyDescent="0.25">
      <c r="A3" s="7" t="s">
        <v>11</v>
      </c>
      <c r="B3" s="8" t="s">
        <v>11</v>
      </c>
      <c r="C3" s="9" t="s">
        <v>12</v>
      </c>
      <c r="D3" s="10">
        <v>1</v>
      </c>
      <c r="E3" s="10">
        <v>2</v>
      </c>
      <c r="F3" s="10">
        <v>1</v>
      </c>
      <c r="G3" s="10">
        <v>2</v>
      </c>
      <c r="H3" s="11" t="s">
        <v>12</v>
      </c>
      <c r="I3" s="11">
        <v>8</v>
      </c>
      <c r="J3" s="12">
        <f>Table1[[#This Row], [n_mpi_procs]]*Table1[[#This Row], [n_omp_threads]]</f>
        <v>2</v>
      </c>
      <c r="K3" s="12">
        <f>Table1[[#This Row], [n_omp_threads]]*Table1[[#This Row], [n_mpi_procs]]</f>
        <v>2</v>
      </c>
      <c r="L3" s="13">
        <f>Table1[[#This Row], [total_devices]]/Table1[[#This Row], [n_nodes]]</f>
        <v>2</v>
      </c>
      <c r="M3" t="b">
        <f>Table1[[#This Row], [n_mpi_procs]]&gt;=Table1[[#This Row], [n_nodes]]</f>
        <v>1</v>
      </c>
    </row>
    <row r="4" spans="1:13" ht="18.75" customHeight="1" x14ac:dyDescent="0.25">
      <c r="A4" s="7" t="s">
        <v>11</v>
      </c>
      <c r="B4" s="8" t="s">
        <v>11</v>
      </c>
      <c r="C4" s="9" t="s">
        <v>12</v>
      </c>
      <c r="D4" s="10">
        <v>1</v>
      </c>
      <c r="E4" s="10">
        <v>5</v>
      </c>
      <c r="F4" s="10">
        <v>1</v>
      </c>
      <c r="G4" s="10">
        <v>5</v>
      </c>
      <c r="H4" s="11" t="s">
        <v>12</v>
      </c>
      <c r="I4" s="11">
        <v>8</v>
      </c>
      <c r="J4" s="12">
        <f>Table1[[#This Row], [n_mpi_procs]]*Table1[[#This Row], [n_omp_threads]]</f>
        <v>5</v>
      </c>
      <c r="K4" s="12">
        <f>Table1[[#This Row], [n_omp_threads]]*Table1[[#This Row], [n_mpi_procs]]</f>
        <v>5</v>
      </c>
      <c r="L4" s="13">
        <f>Table1[[#This Row], [total_devices]]/Table1[[#This Row], [n_nodes]]</f>
        <v>5</v>
      </c>
      <c r="M4" t="b">
        <f>Table1[[#This Row], [n_mpi_procs]]&gt;=Table1[[#This Row], [n_nodes]]</f>
        <v>1</v>
      </c>
    </row>
    <row r="5" spans="1:13" ht="18.75" customHeight="1" x14ac:dyDescent="0.25">
      <c r="A5" s="7" t="s">
        <v>11</v>
      </c>
      <c r="B5" s="8" t="s">
        <v>11</v>
      </c>
      <c r="C5" s="9" t="s">
        <v>12</v>
      </c>
      <c r="D5" s="10">
        <v>1</v>
      </c>
      <c r="E5" s="10">
        <v>8</v>
      </c>
      <c r="F5" s="10">
        <v>1</v>
      </c>
      <c r="G5" s="10">
        <v>8</v>
      </c>
      <c r="H5" s="11" t="s">
        <v>12</v>
      </c>
      <c r="I5" s="11">
        <v>8</v>
      </c>
      <c r="J5" s="12">
        <f>Table1[[#This Row], [n_mpi_procs]]*Table1[[#This Row], [n_omp_threads]]</f>
        <v>8</v>
      </c>
      <c r="K5" s="12">
        <f>Table1[[#This Row], [n_omp_threads]]*Table1[[#This Row], [n_mpi_procs]]</f>
        <v>8</v>
      </c>
      <c r="L5" s="13">
        <f>Table1[[#This Row], [total_devices]]/Table1[[#This Row], [n_nodes]]</f>
        <v>8</v>
      </c>
      <c r="M5" t="b">
        <f>Table1[[#This Row], [n_mpi_procs]]&gt;=Table1[[#This Row], [n_nodes]]</f>
        <v>1</v>
      </c>
    </row>
    <row r="6" spans="1:13" ht="18.75" customHeight="1" x14ac:dyDescent="0.25">
      <c r="A6" s="7" t="s">
        <v>11</v>
      </c>
      <c r="B6" s="8" t="s">
        <v>11</v>
      </c>
      <c r="C6" s="9" t="s">
        <v>12</v>
      </c>
      <c r="D6" s="10">
        <v>2</v>
      </c>
      <c r="E6" s="10">
        <v>10</v>
      </c>
      <c r="F6" s="10">
        <v>1</v>
      </c>
      <c r="G6" s="10">
        <v>10</v>
      </c>
      <c r="H6" s="11" t="s">
        <v>12</v>
      </c>
      <c r="I6" s="11">
        <v>8</v>
      </c>
      <c r="J6" s="12">
        <f>Table1[[#This Row], [n_mpi_procs]]*Table1[[#This Row], [n_omp_threads]]</f>
        <v>10</v>
      </c>
      <c r="K6" s="12">
        <f>Table1[[#This Row], [n_omp_threads]]*Table1[[#This Row], [n_mpi_procs]]</f>
        <v>10</v>
      </c>
      <c r="L6" s="13">
        <f>Table1[[#This Row], [total_devices]]/Table1[[#This Row], [n_nodes]]</f>
        <v>5</v>
      </c>
      <c r="M6" t="b">
        <f>Table1[[#This Row], [n_mpi_procs]]&gt;=Table1[[#This Row], [n_nodes]]</f>
        <v>1</v>
      </c>
    </row>
    <row r="7" spans="1:13" x14ac:dyDescent="0.25">
      <c r="A7" s="17" t="s">
        <v>11</v>
      </c>
      <c r="B7" s="18" t="s">
        <v>11</v>
      </c>
      <c r="C7" s="19" t="s">
        <v>12</v>
      </c>
      <c r="D7" s="20">
        <v>2</v>
      </c>
      <c r="E7" s="20">
        <v>16</v>
      </c>
      <c r="F7" s="20">
        <v>1</v>
      </c>
      <c r="G7" s="20">
        <v>16</v>
      </c>
      <c r="H7" s="21" t="s">
        <v>12</v>
      </c>
      <c r="I7" s="22">
        <v>8</v>
      </c>
      <c r="J7" s="23">
        <f>Table1[[#This Row], [n_mpi_procs]]*Table1[[#This Row], [n_omp_threads]]</f>
        <v>16</v>
      </c>
      <c r="K7" s="23">
        <f>Table1[[#This Row], [n_omp_threads]]*Table1[[#This Row], [n_mpi_procs]]</f>
        <v>16</v>
      </c>
      <c r="L7" s="24">
        <f>Table1[[#This Row], [total_devices]]/Table1[[#This Row], [n_nodes]]</f>
        <v>8</v>
      </c>
      <c r="M7" t="b">
        <f>Table1[[#This Row], [n_mpi_procs]]&gt;=Table1[[#This Row], 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2026-02-25T14:33:15Z</dcterms:modified>
</cp:coreProperties>
</file>