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dcl3nd\dev\TRITON-SWMM_toolkit\test_data\norfolk_coastal_flooding\"/>
    </mc:Choice>
  </mc:AlternateContent>
  <xr:revisionPtr revIDLastSave="0" documentId="13_ncr:1_{AFCF9A9A-F1F9-4A7D-B6F3-F2E5CEBA8C6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K42" i="1"/>
  <c r="L42" i="1" s="1"/>
  <c r="J42" i="1"/>
  <c r="M41" i="1"/>
  <c r="K41" i="1"/>
  <c r="L41" i="1" s="1"/>
  <c r="J41" i="1"/>
  <c r="M40" i="1"/>
  <c r="K40" i="1"/>
  <c r="L40" i="1" s="1"/>
  <c r="J40" i="1"/>
  <c r="M39" i="1"/>
  <c r="K39" i="1"/>
  <c r="L39" i="1" s="1"/>
  <c r="J39" i="1"/>
  <c r="M38" i="1"/>
  <c r="K38" i="1"/>
  <c r="L38" i="1" s="1"/>
  <c r="J38" i="1"/>
  <c r="M37" i="1"/>
  <c r="K37" i="1"/>
  <c r="L37" i="1" s="1"/>
  <c r="J37" i="1"/>
  <c r="M36" i="1"/>
  <c r="K36" i="1"/>
  <c r="L36" i="1" s="1"/>
  <c r="J36" i="1"/>
  <c r="M35" i="1"/>
  <c r="K35" i="1"/>
  <c r="L35" i="1" s="1"/>
  <c r="J35" i="1"/>
  <c r="M34" i="1"/>
  <c r="K34" i="1"/>
  <c r="L34" i="1" s="1"/>
  <c r="J34" i="1"/>
  <c r="M33" i="1"/>
  <c r="K33" i="1"/>
  <c r="L33" i="1" s="1"/>
  <c r="J33" i="1"/>
  <c r="M32" i="1"/>
  <c r="K32" i="1"/>
  <c r="L32" i="1" s="1"/>
  <c r="J32" i="1"/>
  <c r="M31" i="1"/>
  <c r="K31" i="1"/>
  <c r="L31" i="1" s="1"/>
  <c r="J31" i="1"/>
  <c r="M30" i="1"/>
  <c r="K30" i="1"/>
  <c r="L30" i="1" s="1"/>
  <c r="J30" i="1"/>
  <c r="M29" i="1"/>
  <c r="K29" i="1"/>
  <c r="L29" i="1" s="1"/>
  <c r="J29" i="1"/>
  <c r="M28" i="1"/>
  <c r="K28" i="1"/>
  <c r="L28" i="1" s="1"/>
  <c r="J28" i="1"/>
  <c r="M27" i="1"/>
  <c r="K27" i="1"/>
  <c r="L27" i="1" s="1"/>
  <c r="J27" i="1"/>
  <c r="M26" i="1"/>
  <c r="K26" i="1"/>
  <c r="L26" i="1" s="1"/>
  <c r="J26" i="1"/>
  <c r="M25" i="1"/>
  <c r="K25" i="1"/>
  <c r="L25" i="1" s="1"/>
  <c r="J25" i="1"/>
  <c r="M24" i="1"/>
  <c r="K24" i="1"/>
  <c r="L24" i="1" s="1"/>
  <c r="J24" i="1"/>
  <c r="M23" i="1"/>
  <c r="K23" i="1"/>
  <c r="L23" i="1" s="1"/>
  <c r="J23" i="1"/>
  <c r="M22" i="1"/>
  <c r="K22" i="1"/>
  <c r="L22" i="1" s="1"/>
  <c r="J22" i="1"/>
  <c r="M21" i="1"/>
  <c r="L21" i="1"/>
  <c r="K21" i="1"/>
  <c r="J21" i="1"/>
  <c r="M20" i="1"/>
  <c r="K20" i="1"/>
  <c r="L20" i="1" s="1"/>
  <c r="J20" i="1"/>
  <c r="M19" i="1"/>
  <c r="K19" i="1"/>
  <c r="L19" i="1" s="1"/>
  <c r="J19" i="1"/>
  <c r="M18" i="1"/>
  <c r="K18" i="1"/>
  <c r="L18" i="1" s="1"/>
  <c r="J18" i="1"/>
  <c r="M17" i="1"/>
  <c r="K17" i="1"/>
  <c r="L17" i="1" s="1"/>
  <c r="J17" i="1"/>
  <c r="M16" i="1"/>
  <c r="K16" i="1"/>
  <c r="L16" i="1" s="1"/>
  <c r="J16" i="1"/>
  <c r="M15" i="1"/>
  <c r="K15" i="1"/>
  <c r="L15" i="1" s="1"/>
  <c r="J15" i="1"/>
  <c r="M14" i="1"/>
  <c r="K14" i="1"/>
  <c r="L14" i="1" s="1"/>
  <c r="J14" i="1"/>
  <c r="M13" i="1"/>
  <c r="K13" i="1"/>
  <c r="L13" i="1" s="1"/>
  <c r="J13" i="1"/>
  <c r="M12" i="1"/>
  <c r="K12" i="1"/>
  <c r="L12" i="1" s="1"/>
  <c r="J12" i="1"/>
  <c r="M11" i="1"/>
  <c r="K11" i="1"/>
  <c r="L11" i="1" s="1"/>
  <c r="J11" i="1"/>
  <c r="M10" i="1"/>
  <c r="K10" i="1"/>
  <c r="L10" i="1" s="1"/>
  <c r="J10" i="1"/>
  <c r="M9" i="1"/>
  <c r="L9" i="1"/>
  <c r="K9" i="1"/>
  <c r="J9" i="1"/>
  <c r="M8" i="1"/>
  <c r="K8" i="1"/>
  <c r="L8" i="1" s="1"/>
  <c r="J8" i="1"/>
  <c r="M7" i="1"/>
  <c r="K7" i="1"/>
  <c r="L7" i="1" s="1"/>
  <c r="J7" i="1"/>
  <c r="M6" i="1"/>
  <c r="K6" i="1"/>
  <c r="L6" i="1" s="1"/>
  <c r="J6" i="1"/>
  <c r="M5" i="1"/>
  <c r="K5" i="1"/>
  <c r="L5" i="1" s="1"/>
  <c r="J5" i="1"/>
  <c r="M4" i="1"/>
  <c r="K4" i="1"/>
  <c r="L4" i="1" s="1"/>
  <c r="J4" i="1"/>
  <c r="M3" i="1"/>
  <c r="K3" i="1"/>
  <c r="L3" i="1" s="1"/>
  <c r="J3" i="1"/>
  <c r="M2" i="1"/>
  <c r="K2" i="1"/>
  <c r="L2" i="1" s="1"/>
  <c r="J2" i="1"/>
</calcChain>
</file>

<file path=xl/sharedStrings.xml><?xml version="1.0" encoding="utf-8"?>
<sst xmlns="http://schemas.openxmlformats.org/spreadsheetml/2006/main" count="177" uniqueCount="27">
  <si>
    <t>hardware_utilization_strategy</t>
  </si>
  <si>
    <t>device</t>
  </si>
  <si>
    <t>run_mode</t>
  </si>
  <si>
    <t>n_nodes</t>
  </si>
  <si>
    <t>n_mpi_procs</t>
  </si>
  <si>
    <t>n_omp_threads</t>
  </si>
  <si>
    <t>n_gpus</t>
  </si>
  <si>
    <t>hpc_ensemble_partition</t>
  </si>
  <si>
    <t>total_OpenMP_threads</t>
  </si>
  <si>
    <t>total_devices</t>
  </si>
  <si>
    <t>devices_per_node</t>
  </si>
  <si>
    <t>check</t>
  </si>
  <si>
    <t>GPU</t>
  </si>
  <si>
    <t>gpu</t>
  </si>
  <si>
    <t>Multi-CPU - HYB</t>
  </si>
  <si>
    <t>CPU</t>
  </si>
  <si>
    <t>hybrid</t>
  </si>
  <si>
    <t>standard</t>
  </si>
  <si>
    <t>parallel</t>
  </si>
  <si>
    <t>Multi-CPU - MPI</t>
  </si>
  <si>
    <t>mpi</t>
  </si>
  <si>
    <t>Multi-CPU - OMP</t>
  </si>
  <si>
    <t>openmp</t>
  </si>
  <si>
    <t>Baseline - 1 CPU</t>
  </si>
  <si>
    <t>serial</t>
  </si>
  <si>
    <t>mem_gb_per_cpu</t>
  </si>
  <si>
    <t>gpu-a6000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</si>
</sst>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Calibri"/>
        <family val="2"/>
        <scheme val="none"/>
      </font>
      <fill>
        <patternFill patternType="solid">
          <fgColor indexed="64"/>
          <bgColor rgb="FFFFCC9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42" totalsRowShown="0">
  <autoFilter ref="A1:M42" xr:uid="{00000000-0009-0000-0100-000001000000}"/>
  <tableColumns count="13">
    <tableColumn id="1" xr3:uid="{00000000-0010-0000-0000-000001000000}" name="hardware_utilization_strategy"/>
    <tableColumn id="2" xr3:uid="{00000000-0010-0000-0000-000002000000}" name="device"/>
    <tableColumn id="3" xr3:uid="{00000000-0010-0000-0000-000003000000}" name="run_mode"/>
    <tableColumn id="4" xr3:uid="{00000000-0010-0000-0000-000004000000}" name="n_nodes"/>
    <tableColumn id="5" xr3:uid="{00000000-0010-0000-0000-000005000000}" name="n_mpi_procs"/>
    <tableColumn id="6" xr3:uid="{00000000-0010-0000-0000-000006000000}" name="n_omp_threads"/>
    <tableColumn id="7" xr3:uid="{00000000-0010-0000-0000-000007000000}" name="n_gpus"/>
    <tableColumn id="8" xr3:uid="{00000000-0010-0000-0000-000008000000}" name="hpc_ensemble_partition"/>
    <tableColumn id="9" xr3:uid="{26339B98-C3B5-4C3B-9409-F4B744B2B94C}" name="mem_gb_per_cpu" dataDxfId="0"/>
    <tableColumn id="10" xr3:uid="{00000000-0010-0000-0000-00000A000000}" name="total_OpenMP_threads"/>
    <tableColumn id="11" xr3:uid="{00000000-0010-0000-0000-00000B000000}" name="total_devices"/>
    <tableColumn id="12" xr3:uid="{00000000-0010-0000-0000-00000C000000}" name="devices_per_node"/>
    <tableColumn id="13" xr3:uid="{00000000-0010-0000-0000-00000D000000}" name="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42"/>
  <sheetViews>
    <sheetView tabSelected="1" workbookViewId="0">
      <selection activeCell="A32" sqref="A32"/>
    </sheetView>
  </sheetViews>
  <sheetFormatPr defaultRowHeight="15" x14ac:dyDescent="0.25"/>
  <cols>
    <col min="1" max="1" width="29.85546875" style="20" bestFit="1" customWidth="1"/>
    <col min="2" max="2" width="9.28515625" style="20" bestFit="1" customWidth="1"/>
    <col min="3" max="3" width="9.28515625" style="21" bestFit="1" customWidth="1"/>
    <col min="4" max="4" width="19" style="22" bestFit="1" customWidth="1"/>
    <col min="5" max="5" width="22.42578125" style="22" bestFit="1" customWidth="1"/>
    <col min="6" max="7" width="28.28515625" style="22" bestFit="1" customWidth="1"/>
    <col min="8" max="8" width="28.28515625" bestFit="1" customWidth="1"/>
    <col min="9" max="9" width="28.28515625" customWidth="1"/>
    <col min="10" max="10" width="24.7109375" style="22" bestFit="1" customWidth="1"/>
    <col min="11" max="11" width="19" style="22" bestFit="1" customWidth="1"/>
    <col min="12" max="12" width="19.85546875" style="22" bestFit="1" customWidth="1"/>
    <col min="13" max="13" width="13.5703125" bestFit="1" customWidth="1"/>
  </cols>
  <sheetData>
    <row r="1" spans="1:13" ht="18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25</v>
      </c>
      <c r="J1" s="5" t="s">
        <v>8</v>
      </c>
      <c r="K1" s="5" t="s">
        <v>9</v>
      </c>
      <c r="L1" s="6" t="s">
        <v>10</v>
      </c>
      <c r="M1" s="2" t="s">
        <v>11</v>
      </c>
    </row>
    <row r="2" spans="1:13" ht="19.5" customHeight="1" x14ac:dyDescent="0.25">
      <c r="A2" s="7" t="s">
        <v>12</v>
      </c>
      <c r="B2" s="8" t="s">
        <v>12</v>
      </c>
      <c r="C2" s="9" t="s">
        <v>13</v>
      </c>
      <c r="D2" s="10">
        <v>1</v>
      </c>
      <c r="E2" s="10">
        <v>1</v>
      </c>
      <c r="F2" s="10">
        <v>1</v>
      </c>
      <c r="G2" s="10">
        <v>1</v>
      </c>
      <c r="H2" s="11" t="s">
        <v>26</v>
      </c>
      <c r="I2" s="11">
        <v>8</v>
      </c>
      <c r="J2" s="12">
        <f>Table1[[#This Row], [n_mpi_procs]]*Table1[[#This Row], [n_omp_threads]]</f>
        <v>1</v>
      </c>
      <c r="K2" s="12">
        <f>Table1[[#This Row], [n_omp_threads]]*Table1[[#This Row], [n_mpi_procs]]</f>
        <v>1</v>
      </c>
      <c r="L2" s="13">
        <f>Table1[[#This Row], [total_devices]]/Table1[[#This Row], [n_nodes]]</f>
        <v>1</v>
      </c>
      <c r="M2" t="b">
        <f>Table1[[#This Row], [n_mpi_procs]]&gt;=Table1[[#This Row], [n_nodes]]</f>
        <v>1</v>
      </c>
    </row>
    <row r="3" spans="1:13" ht="19.5" customHeight="1" x14ac:dyDescent="0.25">
      <c r="A3" s="7" t="s">
        <v>12</v>
      </c>
      <c r="B3" s="8" t="s">
        <v>12</v>
      </c>
      <c r="C3" s="9" t="s">
        <v>13</v>
      </c>
      <c r="D3" s="10">
        <v>1</v>
      </c>
      <c r="E3" s="10">
        <v>2</v>
      </c>
      <c r="F3" s="10">
        <v>1</v>
      </c>
      <c r="G3" s="10">
        <v>2</v>
      </c>
      <c r="H3" s="11" t="s">
        <v>26</v>
      </c>
      <c r="I3" s="11">
        <v>8</v>
      </c>
      <c r="J3" s="12">
        <f>Table1[[#This Row], [n_mpi_procs]]*Table1[[#This Row], [n_omp_threads]]</f>
        <v>2</v>
      </c>
      <c r="K3" s="12">
        <f>Table1[[#This Row], [n_omp_threads]]*Table1[[#This Row], [n_mpi_procs]]</f>
        <v>2</v>
      </c>
      <c r="L3" s="13">
        <f>Table1[[#This Row], [total_devices]]/Table1[[#This Row], [n_nodes]]</f>
        <v>2</v>
      </c>
      <c r="M3" t="b">
        <f>Table1[[#This Row], [n_mpi_procs]]&gt;=Table1[[#This Row], [n_nodes]]</f>
        <v>1</v>
      </c>
    </row>
    <row r="4" spans="1:13" ht="19.5" customHeight="1" x14ac:dyDescent="0.25">
      <c r="A4" s="7" t="s">
        <v>12</v>
      </c>
      <c r="B4" s="8" t="s">
        <v>12</v>
      </c>
      <c r="C4" s="9" t="s">
        <v>13</v>
      </c>
      <c r="D4" s="10">
        <v>1</v>
      </c>
      <c r="E4" s="10">
        <v>3</v>
      </c>
      <c r="F4" s="10">
        <v>1</v>
      </c>
      <c r="G4" s="10">
        <v>3</v>
      </c>
      <c r="H4" s="11" t="s">
        <v>26</v>
      </c>
      <c r="I4" s="11">
        <v>8</v>
      </c>
      <c r="J4" s="12">
        <f>Table1[[#This Row], [n_mpi_procs]]*Table1[[#This Row], [n_omp_threads]]</f>
        <v>3</v>
      </c>
      <c r="K4" s="12">
        <f>Table1[[#This Row], [n_omp_threads]]*Table1[[#This Row], [n_mpi_procs]]</f>
        <v>3</v>
      </c>
      <c r="L4" s="13">
        <f>Table1[[#This Row], [total_devices]]/Table1[[#This Row], [n_nodes]]</f>
        <v>3</v>
      </c>
      <c r="M4" t="b">
        <f>Table1[[#This Row], [n_mpi_procs]]&gt;=Table1[[#This Row], [n_nodes]]</f>
        <v>1</v>
      </c>
    </row>
    <row r="5" spans="1:13" ht="19.5" customHeight="1" x14ac:dyDescent="0.25">
      <c r="A5" s="7" t="s">
        <v>12</v>
      </c>
      <c r="B5" s="8" t="s">
        <v>12</v>
      </c>
      <c r="C5" s="9" t="s">
        <v>13</v>
      </c>
      <c r="D5" s="10">
        <v>1</v>
      </c>
      <c r="E5" s="10">
        <v>4</v>
      </c>
      <c r="F5" s="10">
        <v>1</v>
      </c>
      <c r="G5" s="10">
        <v>4</v>
      </c>
      <c r="H5" s="11" t="s">
        <v>26</v>
      </c>
      <c r="I5" s="11">
        <v>8</v>
      </c>
      <c r="J5" s="12">
        <f>Table1[[#This Row], [n_mpi_procs]]*Table1[[#This Row], [n_omp_threads]]</f>
        <v>4</v>
      </c>
      <c r="K5" s="12">
        <f>Table1[[#This Row], [n_omp_threads]]*Table1[[#This Row], [n_mpi_procs]]</f>
        <v>4</v>
      </c>
      <c r="L5" s="13">
        <f>Table1[[#This Row], [total_devices]]/Table1[[#This Row], [n_nodes]]</f>
        <v>4</v>
      </c>
      <c r="M5" t="b">
        <f>Table1[[#This Row], [n_mpi_procs]]&gt;=Table1[[#This Row], [n_nodes]]</f>
        <v>1</v>
      </c>
    </row>
    <row r="6" spans="1:13" ht="19.5" customHeight="1" x14ac:dyDescent="0.25">
      <c r="A6" s="7" t="s">
        <v>12</v>
      </c>
      <c r="B6" s="8" t="s">
        <v>12</v>
      </c>
      <c r="C6" s="9" t="s">
        <v>13</v>
      </c>
      <c r="D6" s="10">
        <v>1</v>
      </c>
      <c r="E6" s="10">
        <v>5</v>
      </c>
      <c r="F6" s="10">
        <v>1</v>
      </c>
      <c r="G6" s="10">
        <v>5</v>
      </c>
      <c r="H6" s="11" t="s">
        <v>26</v>
      </c>
      <c r="I6" s="11">
        <v>8</v>
      </c>
      <c r="J6" s="12">
        <f>Table1[[#This Row], [n_mpi_procs]]*Table1[[#This Row], [n_omp_threads]]</f>
        <v>5</v>
      </c>
      <c r="K6" s="12">
        <f>Table1[[#This Row], [n_omp_threads]]*Table1[[#This Row], [n_mpi_procs]]</f>
        <v>5</v>
      </c>
      <c r="L6" s="13">
        <f>Table1[[#This Row], [total_devices]]/Table1[[#This Row], [n_nodes]]</f>
        <v>5</v>
      </c>
      <c r="M6" t="b">
        <f>Table1[[#This Row], [n_mpi_procs]]&gt;=Table1[[#This Row], [n_nodes]]</f>
        <v>1</v>
      </c>
    </row>
    <row r="7" spans="1:13" ht="19.5" customHeight="1" x14ac:dyDescent="0.25">
      <c r="A7" s="7" t="s">
        <v>12</v>
      </c>
      <c r="B7" s="8" t="s">
        <v>12</v>
      </c>
      <c r="C7" s="9" t="s">
        <v>13</v>
      </c>
      <c r="D7" s="10">
        <v>1</v>
      </c>
      <c r="E7" s="10">
        <v>6</v>
      </c>
      <c r="F7" s="10">
        <v>1</v>
      </c>
      <c r="G7" s="10">
        <v>6</v>
      </c>
      <c r="H7" s="11" t="s">
        <v>26</v>
      </c>
      <c r="I7" s="11">
        <v>8</v>
      </c>
      <c r="J7" s="12">
        <f>Table1[[#This Row], [n_mpi_procs]]*Table1[[#This Row], [n_omp_threads]]</f>
        <v>6</v>
      </c>
      <c r="K7" s="12">
        <f>Table1[[#This Row], [n_omp_threads]]*Table1[[#This Row], [n_mpi_procs]]</f>
        <v>6</v>
      </c>
      <c r="L7" s="13">
        <f>Table1[[#This Row], [total_devices]]/Table1[[#This Row], [n_nodes]]</f>
        <v>6</v>
      </c>
      <c r="M7" t="b">
        <f>Table1[[#This Row], [n_mpi_procs]]&gt;=Table1[[#This Row], [n_nodes]]</f>
        <v>1</v>
      </c>
    </row>
    <row r="8" spans="1:13" ht="19.5" customHeight="1" x14ac:dyDescent="0.25">
      <c r="A8" s="7" t="s">
        <v>12</v>
      </c>
      <c r="B8" s="8" t="s">
        <v>12</v>
      </c>
      <c r="C8" s="9" t="s">
        <v>13</v>
      </c>
      <c r="D8" s="10">
        <v>1</v>
      </c>
      <c r="E8" s="10">
        <v>7</v>
      </c>
      <c r="F8" s="10">
        <v>1</v>
      </c>
      <c r="G8" s="10">
        <v>7</v>
      </c>
      <c r="H8" s="11" t="s">
        <v>26</v>
      </c>
      <c r="I8" s="11">
        <v>8</v>
      </c>
      <c r="J8" s="12">
        <f>Table1[[#This Row], [n_mpi_procs]]*Table1[[#This Row], [n_omp_threads]]</f>
        <v>7</v>
      </c>
      <c r="K8" s="12">
        <f>Table1[[#This Row], [n_omp_threads]]*Table1[[#This Row], [n_mpi_procs]]</f>
        <v>7</v>
      </c>
      <c r="L8" s="13">
        <f>Table1[[#This Row], [total_devices]]/Table1[[#This Row], [n_nodes]]</f>
        <v>7</v>
      </c>
      <c r="M8" t="b">
        <f>Table1[[#This Row], [n_mpi_procs]]&gt;=Table1[[#This Row], [n_nodes]]</f>
        <v>1</v>
      </c>
    </row>
    <row r="9" spans="1:13" ht="19.5" customHeight="1" x14ac:dyDescent="0.25">
      <c r="A9" s="7" t="s">
        <v>12</v>
      </c>
      <c r="B9" s="8" t="s">
        <v>12</v>
      </c>
      <c r="C9" s="9" t="s">
        <v>13</v>
      </c>
      <c r="D9" s="10">
        <v>1</v>
      </c>
      <c r="E9" s="10">
        <v>8</v>
      </c>
      <c r="F9" s="10">
        <v>1</v>
      </c>
      <c r="G9" s="10">
        <v>8</v>
      </c>
      <c r="H9" s="11" t="s">
        <v>26</v>
      </c>
      <c r="I9" s="11">
        <v>8</v>
      </c>
      <c r="J9" s="12">
        <f>Table1[[#This Row], [n_mpi_procs]]*Table1[[#This Row], [n_omp_threads]]</f>
        <v>8</v>
      </c>
      <c r="K9" s="12">
        <f>Table1[[#This Row], [n_omp_threads]]*Table1[[#This Row], [n_mpi_procs]]</f>
        <v>8</v>
      </c>
      <c r="L9" s="13">
        <f>Table1[[#This Row], [total_devices]]/Table1[[#This Row], [n_nodes]]</f>
        <v>8</v>
      </c>
      <c r="M9" t="b">
        <f>Table1[[#This Row], [n_mpi_procs]]&gt;=Table1[[#This Row], [n_nodes]]</f>
        <v>1</v>
      </c>
    </row>
    <row r="10" spans="1:13" ht="19.5" customHeight="1" x14ac:dyDescent="0.25">
      <c r="A10" s="7" t="s">
        <v>12</v>
      </c>
      <c r="B10" s="8" t="s">
        <v>12</v>
      </c>
      <c r="C10" s="9" t="s">
        <v>13</v>
      </c>
      <c r="D10" s="10">
        <v>2</v>
      </c>
      <c r="E10" s="10">
        <v>16</v>
      </c>
      <c r="F10" s="10">
        <v>1</v>
      </c>
      <c r="G10" s="10">
        <v>16</v>
      </c>
      <c r="H10" s="11" t="s">
        <v>26</v>
      </c>
      <c r="I10" s="11">
        <v>8</v>
      </c>
      <c r="J10" s="12">
        <f>Table1[[#This Row], [n_mpi_procs]]*Table1[[#This Row], [n_omp_threads]]</f>
        <v>16</v>
      </c>
      <c r="K10" s="12">
        <f>Table1[[#This Row], [n_omp_threads]]*Table1[[#This Row], [n_mpi_procs]]</f>
        <v>16</v>
      </c>
      <c r="L10" s="13">
        <f>Table1[[#This Row], [total_devices]]/Table1[[#This Row], [n_nodes]]</f>
        <v>8</v>
      </c>
      <c r="M10" t="b">
        <f>Table1[[#This Row], [n_mpi_procs]]&gt;=Table1[[#This Row], [n_nodes]]</f>
        <v>1</v>
      </c>
    </row>
    <row r="11" spans="1:13" ht="19.5" customHeight="1" x14ac:dyDescent="0.25">
      <c r="A11" s="14" t="s">
        <v>14</v>
      </c>
      <c r="B11" s="15" t="s">
        <v>15</v>
      </c>
      <c r="C11" s="9" t="s">
        <v>16</v>
      </c>
      <c r="D11" s="10">
        <v>1</v>
      </c>
      <c r="E11" s="10">
        <v>2</v>
      </c>
      <c r="F11" s="10">
        <v>2</v>
      </c>
      <c r="G11" s="10">
        <v>0</v>
      </c>
      <c r="H11" s="11" t="s">
        <v>17</v>
      </c>
      <c r="I11" s="11">
        <v>2</v>
      </c>
      <c r="J11" s="12">
        <f>Table1[[#This Row], [n_mpi_procs]]*Table1[[#This Row], [n_omp_threads]]</f>
        <v>4</v>
      </c>
      <c r="K11" s="12">
        <f>Table1[[#This Row], [n_omp_threads]]*Table1[[#This Row], [n_mpi_procs]]</f>
        <v>4</v>
      </c>
      <c r="L11" s="13">
        <f>Table1[[#This Row], [total_devices]]/Table1[[#This Row], [n_nodes]]</f>
        <v>4</v>
      </c>
      <c r="M11" t="b">
        <f>Table1[[#This Row], [n_mpi_procs]]&gt;=Table1[[#This Row], [n_nodes]]</f>
        <v>1</v>
      </c>
    </row>
    <row r="12" spans="1:13" ht="19.5" customHeight="1" x14ac:dyDescent="0.25">
      <c r="A12" s="16" t="s">
        <v>14</v>
      </c>
      <c r="B12" s="17" t="s">
        <v>15</v>
      </c>
      <c r="C12" s="9" t="s">
        <v>16</v>
      </c>
      <c r="D12" s="18">
        <v>1</v>
      </c>
      <c r="E12" s="10">
        <v>2</v>
      </c>
      <c r="F12" s="18">
        <v>4</v>
      </c>
      <c r="G12" s="10">
        <v>0</v>
      </c>
      <c r="H12" s="11" t="s">
        <v>17</v>
      </c>
      <c r="I12" s="11">
        <v>2</v>
      </c>
      <c r="J12" s="12">
        <f>Table1[[#This Row], [n_mpi_procs]]*Table1[[#This Row], [n_omp_threads]]</f>
        <v>8</v>
      </c>
      <c r="K12" s="12">
        <f>Table1[[#This Row], [n_omp_threads]]*Table1[[#This Row], [n_mpi_procs]]</f>
        <v>8</v>
      </c>
      <c r="L12" s="19">
        <f>Table1[[#This Row], [total_devices]]/Table1[[#This Row], [n_nodes]]</f>
        <v>8</v>
      </c>
      <c r="M12" t="b">
        <f>Table1[[#This Row], [n_mpi_procs]]&gt;=Table1[[#This Row], [n_nodes]]</f>
        <v>1</v>
      </c>
    </row>
    <row r="13" spans="1:13" ht="19.5" customHeight="1" x14ac:dyDescent="0.25">
      <c r="A13" s="14" t="s">
        <v>14</v>
      </c>
      <c r="B13" s="15" t="s">
        <v>15</v>
      </c>
      <c r="C13" s="9" t="s">
        <v>16</v>
      </c>
      <c r="D13" s="10">
        <v>1</v>
      </c>
      <c r="E13" s="10">
        <v>4</v>
      </c>
      <c r="F13" s="10">
        <v>2</v>
      </c>
      <c r="G13" s="10">
        <v>0</v>
      </c>
      <c r="H13" s="11" t="s">
        <v>17</v>
      </c>
      <c r="I13" s="11">
        <v>2</v>
      </c>
      <c r="J13" s="12">
        <f>Table1[[#This Row], [n_mpi_procs]]*Table1[[#This Row], [n_omp_threads]]</f>
        <v>8</v>
      </c>
      <c r="K13" s="12">
        <f>Table1[[#This Row], [n_omp_threads]]*Table1[[#This Row], [n_mpi_procs]]</f>
        <v>8</v>
      </c>
      <c r="L13" s="19">
        <f>Table1[[#This Row], [total_devices]]/Table1[[#This Row], [n_nodes]]</f>
        <v>8</v>
      </c>
      <c r="M13" t="b">
        <f>Table1[[#This Row], [n_mpi_procs]]&gt;=Table1[[#This Row], [n_nodes]]</f>
        <v>1</v>
      </c>
    </row>
    <row r="14" spans="1:13" ht="19.5" customHeight="1" x14ac:dyDescent="0.25">
      <c r="A14" s="14" t="s">
        <v>14</v>
      </c>
      <c r="B14" s="15" t="s">
        <v>15</v>
      </c>
      <c r="C14" s="9" t="s">
        <v>16</v>
      </c>
      <c r="D14" s="10">
        <v>1</v>
      </c>
      <c r="E14" s="10">
        <v>4</v>
      </c>
      <c r="F14" s="10">
        <v>4</v>
      </c>
      <c r="G14" s="10">
        <v>0</v>
      </c>
      <c r="H14" s="11" t="s">
        <v>17</v>
      </c>
      <c r="I14" s="11">
        <v>2</v>
      </c>
      <c r="J14" s="12">
        <f>Table1[[#This Row], [n_mpi_procs]]*Table1[[#This Row], [n_omp_threads]]</f>
        <v>16</v>
      </c>
      <c r="K14" s="12">
        <f>Table1[[#This Row], [n_omp_threads]]*Table1[[#This Row], [n_mpi_procs]]</f>
        <v>16</v>
      </c>
      <c r="L14" s="19">
        <f>Table1[[#This Row], [total_devices]]/Table1[[#This Row], [n_nodes]]</f>
        <v>16</v>
      </c>
      <c r="M14" t="b">
        <f>Table1[[#This Row], [n_mpi_procs]]&gt;=Table1[[#This Row], [n_nodes]]</f>
        <v>1</v>
      </c>
    </row>
    <row r="15" spans="1:13" ht="19.5" customHeight="1" x14ac:dyDescent="0.25">
      <c r="A15" s="14" t="s">
        <v>14</v>
      </c>
      <c r="B15" s="15" t="s">
        <v>15</v>
      </c>
      <c r="C15" s="9" t="s">
        <v>16</v>
      </c>
      <c r="D15" s="10">
        <v>1</v>
      </c>
      <c r="E15" s="10">
        <v>2</v>
      </c>
      <c r="F15" s="10">
        <v>8</v>
      </c>
      <c r="G15" s="10">
        <v>0</v>
      </c>
      <c r="H15" s="11" t="s">
        <v>17</v>
      </c>
      <c r="I15" s="11">
        <v>2</v>
      </c>
      <c r="J15" s="12">
        <f>Table1[[#This Row], [n_mpi_procs]]*Table1[[#This Row], [n_omp_threads]]</f>
        <v>16</v>
      </c>
      <c r="K15" s="12">
        <f>Table1[[#This Row], [n_omp_threads]]*Table1[[#This Row], [n_mpi_procs]]</f>
        <v>16</v>
      </c>
      <c r="L15" s="19">
        <f>Table1[[#This Row], [total_devices]]/Table1[[#This Row], [n_nodes]]</f>
        <v>16</v>
      </c>
      <c r="M15" t="b">
        <f>Table1[[#This Row], [n_mpi_procs]]&gt;=Table1[[#This Row], [n_nodes]]</f>
        <v>1</v>
      </c>
    </row>
    <row r="16" spans="1:13" ht="19.5" customHeight="1" x14ac:dyDescent="0.25">
      <c r="A16" s="14" t="s">
        <v>14</v>
      </c>
      <c r="B16" s="15" t="s">
        <v>15</v>
      </c>
      <c r="C16" s="9" t="s">
        <v>16</v>
      </c>
      <c r="D16" s="10">
        <v>1</v>
      </c>
      <c r="E16" s="10">
        <v>8</v>
      </c>
      <c r="F16" s="10">
        <v>2</v>
      </c>
      <c r="G16" s="10">
        <v>0</v>
      </c>
      <c r="H16" s="11" t="s">
        <v>17</v>
      </c>
      <c r="I16" s="11">
        <v>2</v>
      </c>
      <c r="J16" s="12">
        <f>Table1[[#This Row], [n_mpi_procs]]*Table1[[#This Row], [n_omp_threads]]</f>
        <v>16</v>
      </c>
      <c r="K16" s="12">
        <f>Table1[[#This Row], [n_omp_threads]]*Table1[[#This Row], [n_mpi_procs]]</f>
        <v>16</v>
      </c>
      <c r="L16" s="19">
        <f>Table1[[#This Row], [total_devices]]/Table1[[#This Row], [n_nodes]]</f>
        <v>16</v>
      </c>
      <c r="M16" t="b">
        <f>Table1[[#This Row], [n_mpi_procs]]&gt;=Table1[[#This Row], [n_nodes]]</f>
        <v>1</v>
      </c>
    </row>
    <row r="17" spans="1:13" ht="19.5" customHeight="1" x14ac:dyDescent="0.25">
      <c r="A17" s="14" t="s">
        <v>14</v>
      </c>
      <c r="B17" s="15" t="s">
        <v>15</v>
      </c>
      <c r="C17" s="9" t="s">
        <v>16</v>
      </c>
      <c r="D17" s="10">
        <v>1</v>
      </c>
      <c r="E17" s="10">
        <v>16</v>
      </c>
      <c r="F17" s="10">
        <v>2</v>
      </c>
      <c r="G17" s="10">
        <v>0</v>
      </c>
      <c r="H17" s="11" t="s">
        <v>17</v>
      </c>
      <c r="I17" s="11">
        <v>2</v>
      </c>
      <c r="J17" s="12">
        <f>Table1[[#This Row], [n_mpi_procs]]*Table1[[#This Row], [n_omp_threads]]</f>
        <v>32</v>
      </c>
      <c r="K17" s="12">
        <f>Table1[[#This Row], [n_omp_threads]]*Table1[[#This Row], [n_mpi_procs]]</f>
        <v>32</v>
      </c>
      <c r="L17" s="19">
        <f>Table1[[#This Row], [total_devices]]/Table1[[#This Row], [n_nodes]]</f>
        <v>32</v>
      </c>
      <c r="M17" t="b">
        <f>Table1[[#This Row], [n_mpi_procs]]&gt;=Table1[[#This Row], [n_nodes]]</f>
        <v>1</v>
      </c>
    </row>
    <row r="18" spans="1:13" ht="19.5" customHeight="1" x14ac:dyDescent="0.25">
      <c r="A18" s="14" t="s">
        <v>14</v>
      </c>
      <c r="B18" s="15" t="s">
        <v>15</v>
      </c>
      <c r="C18" s="9" t="s">
        <v>16</v>
      </c>
      <c r="D18" s="10">
        <v>1</v>
      </c>
      <c r="E18" s="10">
        <v>2</v>
      </c>
      <c r="F18" s="10">
        <v>16</v>
      </c>
      <c r="G18" s="10">
        <v>0</v>
      </c>
      <c r="H18" s="11" t="s">
        <v>17</v>
      </c>
      <c r="I18" s="11">
        <v>2</v>
      </c>
      <c r="J18" s="12">
        <f>Table1[[#This Row], [n_mpi_procs]]*Table1[[#This Row], [n_omp_threads]]</f>
        <v>32</v>
      </c>
      <c r="K18" s="12">
        <f>Table1[[#This Row], [n_omp_threads]]*Table1[[#This Row], [n_mpi_procs]]</f>
        <v>32</v>
      </c>
      <c r="L18" s="19">
        <f>Table1[[#This Row], [total_devices]]/Table1[[#This Row], [n_nodes]]</f>
        <v>32</v>
      </c>
      <c r="M18" t="b">
        <f>Table1[[#This Row], [n_mpi_procs]]&gt;=Table1[[#This Row], [n_nodes]]</f>
        <v>1</v>
      </c>
    </row>
    <row r="19" spans="1:13" ht="19.5" customHeight="1" x14ac:dyDescent="0.25">
      <c r="A19" s="14" t="s">
        <v>14</v>
      </c>
      <c r="B19" s="15" t="s">
        <v>15</v>
      </c>
      <c r="C19" s="9" t="s">
        <v>16</v>
      </c>
      <c r="D19" s="10">
        <v>1</v>
      </c>
      <c r="E19" s="10">
        <v>4</v>
      </c>
      <c r="F19" s="10">
        <v>8</v>
      </c>
      <c r="G19" s="10">
        <v>0</v>
      </c>
      <c r="H19" s="11" t="s">
        <v>17</v>
      </c>
      <c r="I19" s="11">
        <v>2</v>
      </c>
      <c r="J19" s="12">
        <f>Table1[[#This Row], [n_mpi_procs]]*Table1[[#This Row], [n_omp_threads]]</f>
        <v>32</v>
      </c>
      <c r="K19" s="12">
        <f>Table1[[#This Row], [n_omp_threads]]*Table1[[#This Row], [n_mpi_procs]]</f>
        <v>32</v>
      </c>
      <c r="L19" s="19">
        <f>Table1[[#This Row], [total_devices]]/Table1[[#This Row], [n_nodes]]</f>
        <v>32</v>
      </c>
      <c r="M19" t="b">
        <f>Table1[[#This Row], [n_mpi_procs]]&gt;=Table1[[#This Row], [n_nodes]]</f>
        <v>1</v>
      </c>
    </row>
    <row r="20" spans="1:13" ht="19.5" customHeight="1" x14ac:dyDescent="0.25">
      <c r="A20" s="14" t="s">
        <v>14</v>
      </c>
      <c r="B20" s="15" t="s">
        <v>15</v>
      </c>
      <c r="C20" s="9" t="s">
        <v>16</v>
      </c>
      <c r="D20" s="10">
        <v>1</v>
      </c>
      <c r="E20" s="10">
        <v>8</v>
      </c>
      <c r="F20" s="10">
        <v>4</v>
      </c>
      <c r="G20" s="10">
        <v>0</v>
      </c>
      <c r="H20" s="11" t="s">
        <v>17</v>
      </c>
      <c r="I20" s="11">
        <v>2</v>
      </c>
      <c r="J20" s="12">
        <f>Table1[[#This Row], [n_mpi_procs]]*Table1[[#This Row], [n_omp_threads]]</f>
        <v>32</v>
      </c>
      <c r="K20" s="12">
        <f>Table1[[#This Row], [n_omp_threads]]*Table1[[#This Row], [n_mpi_procs]]</f>
        <v>32</v>
      </c>
      <c r="L20" s="19">
        <f>Table1[[#This Row], [total_devices]]/Table1[[#This Row], [n_nodes]]</f>
        <v>32</v>
      </c>
      <c r="M20" t="b">
        <f>Table1[[#This Row], [n_mpi_procs]]&gt;=Table1[[#This Row], [n_nodes]]</f>
        <v>1</v>
      </c>
    </row>
    <row r="21" spans="1:13" ht="19.5" customHeight="1" x14ac:dyDescent="0.25">
      <c r="A21" s="14" t="s">
        <v>14</v>
      </c>
      <c r="B21" s="15" t="s">
        <v>15</v>
      </c>
      <c r="C21" s="9" t="s">
        <v>16</v>
      </c>
      <c r="D21" s="10">
        <v>1</v>
      </c>
      <c r="E21" s="10">
        <v>2</v>
      </c>
      <c r="F21" s="10">
        <v>32</v>
      </c>
      <c r="G21" s="10">
        <v>0</v>
      </c>
      <c r="H21" s="11" t="s">
        <v>17</v>
      </c>
      <c r="I21" s="11">
        <v>2</v>
      </c>
      <c r="J21" s="12">
        <f>Table1[[#This Row], [n_mpi_procs]]*Table1[[#This Row], [n_omp_threads]]</f>
        <v>64</v>
      </c>
      <c r="K21" s="12">
        <f>Table1[[#This Row], [n_omp_threads]]*Table1[[#This Row], [n_mpi_procs]]</f>
        <v>64</v>
      </c>
      <c r="L21" s="19">
        <f>Table1[[#This Row], [total_devices]]/Table1[[#This Row], [n_nodes]]</f>
        <v>64</v>
      </c>
      <c r="M21" t="b">
        <f>Table1[[#This Row], [n_mpi_procs]]&gt;=Table1[[#This Row], [n_nodes]]</f>
        <v>1</v>
      </c>
    </row>
    <row r="22" spans="1:13" ht="19.5" customHeight="1" x14ac:dyDescent="0.25">
      <c r="A22" s="14" t="s">
        <v>14</v>
      </c>
      <c r="B22" s="15" t="s">
        <v>15</v>
      </c>
      <c r="C22" s="9" t="s">
        <v>16</v>
      </c>
      <c r="D22" s="10">
        <v>1</v>
      </c>
      <c r="E22" s="10">
        <v>32</v>
      </c>
      <c r="F22" s="10">
        <v>2</v>
      </c>
      <c r="G22" s="10">
        <v>0</v>
      </c>
      <c r="H22" s="11" t="s">
        <v>17</v>
      </c>
      <c r="I22" s="11">
        <v>2</v>
      </c>
      <c r="J22" s="12">
        <f>Table1[[#This Row], [n_mpi_procs]]*Table1[[#This Row], [n_omp_threads]]</f>
        <v>64</v>
      </c>
      <c r="K22" s="12">
        <f>Table1[[#This Row], [n_omp_threads]]*Table1[[#This Row], [n_mpi_procs]]</f>
        <v>64</v>
      </c>
      <c r="L22" s="19">
        <f>Table1[[#This Row], [total_devices]]/Table1[[#This Row], [n_nodes]]</f>
        <v>64</v>
      </c>
      <c r="M22" t="b">
        <f>Table1[[#This Row], [n_mpi_procs]]&gt;=Table1[[#This Row], [n_nodes]]</f>
        <v>1</v>
      </c>
    </row>
    <row r="23" spans="1:13" ht="19.5" customHeight="1" x14ac:dyDescent="0.25">
      <c r="A23" s="14" t="s">
        <v>14</v>
      </c>
      <c r="B23" s="15" t="s">
        <v>15</v>
      </c>
      <c r="C23" s="9" t="s">
        <v>16</v>
      </c>
      <c r="D23" s="10">
        <v>1</v>
      </c>
      <c r="E23" s="10">
        <v>4</v>
      </c>
      <c r="F23" s="10">
        <v>16</v>
      </c>
      <c r="G23" s="10">
        <v>0</v>
      </c>
      <c r="H23" s="11" t="s">
        <v>17</v>
      </c>
      <c r="I23" s="11">
        <v>2</v>
      </c>
      <c r="J23" s="12">
        <f>Table1[[#This Row], [n_mpi_procs]]*Table1[[#This Row], [n_omp_threads]]</f>
        <v>64</v>
      </c>
      <c r="K23" s="12">
        <f>Table1[[#This Row], [n_omp_threads]]*Table1[[#This Row], [n_mpi_procs]]</f>
        <v>64</v>
      </c>
      <c r="L23" s="19">
        <f>Table1[[#This Row], [total_devices]]/Table1[[#This Row], [n_nodes]]</f>
        <v>64</v>
      </c>
      <c r="M23" t="b">
        <f>Table1[[#This Row], [n_mpi_procs]]&gt;=Table1[[#This Row], [n_nodes]]</f>
        <v>1</v>
      </c>
    </row>
    <row r="24" spans="1:13" ht="19.5" customHeight="1" x14ac:dyDescent="0.25">
      <c r="A24" s="14" t="s">
        <v>14</v>
      </c>
      <c r="B24" s="15" t="s">
        <v>15</v>
      </c>
      <c r="C24" s="9" t="s">
        <v>16</v>
      </c>
      <c r="D24" s="10">
        <v>1</v>
      </c>
      <c r="E24" s="10">
        <v>16</v>
      </c>
      <c r="F24" s="10">
        <v>4</v>
      </c>
      <c r="G24" s="10">
        <v>0</v>
      </c>
      <c r="H24" s="11" t="s">
        <v>17</v>
      </c>
      <c r="I24" s="11">
        <v>2</v>
      </c>
      <c r="J24" s="12">
        <f>Table1[[#This Row], [n_mpi_procs]]*Table1[[#This Row], [n_omp_threads]]</f>
        <v>64</v>
      </c>
      <c r="K24" s="12">
        <f>Table1[[#This Row], [n_omp_threads]]*Table1[[#This Row], [n_mpi_procs]]</f>
        <v>64</v>
      </c>
      <c r="L24" s="19">
        <f>Table1[[#This Row], [total_devices]]/Table1[[#This Row], [n_nodes]]</f>
        <v>64</v>
      </c>
      <c r="M24" t="b">
        <f>Table1[[#This Row], [n_mpi_procs]]&gt;=Table1[[#This Row], [n_nodes]]</f>
        <v>1</v>
      </c>
    </row>
    <row r="25" spans="1:13" ht="19.5" customHeight="1" x14ac:dyDescent="0.25">
      <c r="A25" s="14" t="s">
        <v>14</v>
      </c>
      <c r="B25" s="15" t="s">
        <v>15</v>
      </c>
      <c r="C25" s="9" t="s">
        <v>16</v>
      </c>
      <c r="D25" s="10">
        <v>1</v>
      </c>
      <c r="E25" s="10">
        <v>8</v>
      </c>
      <c r="F25" s="10">
        <v>8</v>
      </c>
      <c r="G25" s="10">
        <v>0</v>
      </c>
      <c r="H25" s="11" t="s">
        <v>17</v>
      </c>
      <c r="I25" s="11">
        <v>2</v>
      </c>
      <c r="J25" s="12">
        <f>Table1[[#This Row], [n_mpi_procs]]*Table1[[#This Row], [n_omp_threads]]</f>
        <v>64</v>
      </c>
      <c r="K25" s="12">
        <f>Table1[[#This Row], [n_omp_threads]]*Table1[[#This Row], [n_mpi_procs]]</f>
        <v>64</v>
      </c>
      <c r="L25" s="19">
        <f>Table1[[#This Row], [total_devices]]/Table1[[#This Row], [n_nodes]]</f>
        <v>64</v>
      </c>
      <c r="M25" t="b">
        <f>Table1[[#This Row], [n_mpi_procs]]&gt;=Table1[[#This Row], [n_nodes]]</f>
        <v>1</v>
      </c>
    </row>
    <row r="26" spans="1:13" ht="19.5" customHeight="1" x14ac:dyDescent="0.25">
      <c r="A26" s="14" t="s">
        <v>14</v>
      </c>
      <c r="B26" s="15" t="s">
        <v>15</v>
      </c>
      <c r="C26" s="9" t="s">
        <v>16</v>
      </c>
      <c r="D26" s="10">
        <v>2</v>
      </c>
      <c r="E26" s="10">
        <v>2</v>
      </c>
      <c r="F26" s="10">
        <v>64</v>
      </c>
      <c r="G26" s="10">
        <v>0</v>
      </c>
      <c r="H26" s="11" t="s">
        <v>18</v>
      </c>
      <c r="I26" s="11">
        <v>2</v>
      </c>
      <c r="J26" s="12">
        <f>Table1[[#This Row], [n_mpi_procs]]*Table1[[#This Row], [n_omp_threads]]</f>
        <v>128</v>
      </c>
      <c r="K26" s="12">
        <f>Table1[[#This Row], [n_omp_threads]]*Table1[[#This Row], [n_mpi_procs]]</f>
        <v>128</v>
      </c>
      <c r="L26" s="19">
        <f>Table1[[#This Row], [total_devices]]/Table1[[#This Row], [n_nodes]]</f>
        <v>64</v>
      </c>
      <c r="M26" t="b">
        <f>Table1[[#This Row], [n_mpi_procs]]&gt;=Table1[[#This Row], [n_nodes]]</f>
        <v>1</v>
      </c>
    </row>
    <row r="27" spans="1:13" ht="19.5" customHeight="1" x14ac:dyDescent="0.25">
      <c r="A27" s="14" t="s">
        <v>14</v>
      </c>
      <c r="B27" s="15" t="s">
        <v>15</v>
      </c>
      <c r="C27" s="9" t="s">
        <v>16</v>
      </c>
      <c r="D27" s="10">
        <v>2</v>
      </c>
      <c r="E27" s="10">
        <v>4</v>
      </c>
      <c r="F27" s="10">
        <v>32</v>
      </c>
      <c r="G27" s="10">
        <v>0</v>
      </c>
      <c r="H27" s="11" t="s">
        <v>18</v>
      </c>
      <c r="I27" s="11">
        <v>2</v>
      </c>
      <c r="J27" s="12">
        <f>Table1[[#This Row], [n_mpi_procs]]*Table1[[#This Row], [n_omp_threads]]</f>
        <v>128</v>
      </c>
      <c r="K27" s="12">
        <f>Table1[[#This Row], [n_omp_threads]]*Table1[[#This Row], [n_mpi_procs]]</f>
        <v>128</v>
      </c>
      <c r="L27" s="19">
        <f>Table1[[#This Row], [total_devices]]/Table1[[#This Row], [n_nodes]]</f>
        <v>64</v>
      </c>
      <c r="M27" t="b">
        <f>Table1[[#This Row], [n_mpi_procs]]&gt;=Table1[[#This Row], [n_nodes]]</f>
        <v>1</v>
      </c>
    </row>
    <row r="28" spans="1:13" ht="19.5" customHeight="1" x14ac:dyDescent="0.25">
      <c r="A28" s="14" t="s">
        <v>14</v>
      </c>
      <c r="B28" s="15" t="s">
        <v>15</v>
      </c>
      <c r="C28" s="9" t="s">
        <v>16</v>
      </c>
      <c r="D28" s="10">
        <v>2</v>
      </c>
      <c r="E28" s="10">
        <v>8</v>
      </c>
      <c r="F28" s="10">
        <v>16</v>
      </c>
      <c r="G28" s="10">
        <v>0</v>
      </c>
      <c r="H28" s="11" t="s">
        <v>18</v>
      </c>
      <c r="I28" s="11">
        <v>2</v>
      </c>
      <c r="J28" s="12">
        <f>Table1[[#This Row], [n_mpi_procs]]*Table1[[#This Row], [n_omp_threads]]</f>
        <v>128</v>
      </c>
      <c r="K28" s="12">
        <f>Table1[[#This Row], [n_omp_threads]]*Table1[[#This Row], [n_mpi_procs]]</f>
        <v>128</v>
      </c>
      <c r="L28" s="19">
        <f>Table1[[#This Row], [total_devices]]/Table1[[#This Row], [n_nodes]]</f>
        <v>64</v>
      </c>
      <c r="M28" t="b">
        <f>Table1[[#This Row], [n_mpi_procs]]&gt;=Table1[[#This Row], [n_nodes]]</f>
        <v>1</v>
      </c>
    </row>
    <row r="29" spans="1:13" ht="19.5" customHeight="1" x14ac:dyDescent="0.25">
      <c r="A29" s="14" t="s">
        <v>14</v>
      </c>
      <c r="B29" s="15" t="s">
        <v>15</v>
      </c>
      <c r="C29" s="9" t="s">
        <v>16</v>
      </c>
      <c r="D29" s="10">
        <v>2</v>
      </c>
      <c r="E29" s="10">
        <v>16</v>
      </c>
      <c r="F29" s="10">
        <v>8</v>
      </c>
      <c r="G29" s="10">
        <v>0</v>
      </c>
      <c r="H29" s="11" t="s">
        <v>18</v>
      </c>
      <c r="I29" s="11">
        <v>2</v>
      </c>
      <c r="J29" s="12">
        <f>Table1[[#This Row], [n_mpi_procs]]*Table1[[#This Row], [n_omp_threads]]</f>
        <v>128</v>
      </c>
      <c r="K29" s="12">
        <f>Table1[[#This Row], [n_omp_threads]]*Table1[[#This Row], [n_mpi_procs]]</f>
        <v>128</v>
      </c>
      <c r="L29" s="19">
        <f>Table1[[#This Row], [total_devices]]/Table1[[#This Row], [n_nodes]]</f>
        <v>64</v>
      </c>
      <c r="M29" t="b">
        <f>Table1[[#This Row], [n_mpi_procs]]&gt;=Table1[[#This Row], [n_nodes]]</f>
        <v>1</v>
      </c>
    </row>
    <row r="30" spans="1:13" ht="19.5" customHeight="1" x14ac:dyDescent="0.25">
      <c r="A30" s="14" t="s">
        <v>14</v>
      </c>
      <c r="B30" s="15" t="s">
        <v>15</v>
      </c>
      <c r="C30" s="9" t="s">
        <v>16</v>
      </c>
      <c r="D30" s="10">
        <v>2</v>
      </c>
      <c r="E30" s="10">
        <v>32</v>
      </c>
      <c r="F30" s="10">
        <v>4</v>
      </c>
      <c r="G30" s="10">
        <v>0</v>
      </c>
      <c r="H30" s="11" t="s">
        <v>18</v>
      </c>
      <c r="I30" s="11">
        <v>2</v>
      </c>
      <c r="J30" s="12">
        <f>Table1[[#This Row], [n_mpi_procs]]*Table1[[#This Row], [n_omp_threads]]</f>
        <v>128</v>
      </c>
      <c r="K30" s="12">
        <f>Table1[[#This Row], [n_omp_threads]]*Table1[[#This Row], [n_mpi_procs]]</f>
        <v>128</v>
      </c>
      <c r="L30" s="19">
        <f>Table1[[#This Row], [total_devices]]/Table1[[#This Row], [n_nodes]]</f>
        <v>64</v>
      </c>
      <c r="M30" t="b">
        <f>Table1[[#This Row], [n_mpi_procs]]&gt;=Table1[[#This Row], [n_nodes]]</f>
        <v>1</v>
      </c>
    </row>
    <row r="31" spans="1:13" ht="18.75" customHeight="1" x14ac:dyDescent="0.25">
      <c r="A31" s="14" t="s">
        <v>14</v>
      </c>
      <c r="B31" s="15" t="s">
        <v>15</v>
      </c>
      <c r="C31" s="9" t="s">
        <v>16</v>
      </c>
      <c r="D31" s="10">
        <v>2</v>
      </c>
      <c r="E31" s="10">
        <v>64</v>
      </c>
      <c r="F31" s="10">
        <v>2</v>
      </c>
      <c r="G31" s="10">
        <v>0</v>
      </c>
      <c r="H31" s="11" t="s">
        <v>18</v>
      </c>
      <c r="I31" s="11">
        <v>2</v>
      </c>
      <c r="J31" s="12">
        <f>Table1[[#This Row], [n_mpi_procs]]*Table1[[#This Row], [n_omp_threads]]</f>
        <v>128</v>
      </c>
      <c r="K31" s="12">
        <f>Table1[[#This Row], [n_omp_threads]]*Table1[[#This Row], [n_mpi_procs]]</f>
        <v>128</v>
      </c>
      <c r="L31" s="19">
        <f>Table1[[#This Row], [total_devices]]/Table1[[#This Row], [n_nodes]]</f>
        <v>64</v>
      </c>
      <c r="M31" t="b">
        <f>Table1[[#This Row], [n_mpi_procs]]&gt;=Table1[[#This Row], [n_nodes]]</f>
        <v>1</v>
      </c>
    </row>
    <row r="32" spans="1:13" ht="18.75" customHeight="1" x14ac:dyDescent="0.25">
      <c r="A32" s="14" t="s">
        <v>19</v>
      </c>
      <c r="B32" s="15" t="s">
        <v>15</v>
      </c>
      <c r="C32" s="9" t="s">
        <v>20</v>
      </c>
      <c r="D32" s="10">
        <v>1</v>
      </c>
      <c r="E32" s="10">
        <v>2</v>
      </c>
      <c r="F32" s="10">
        <v>1</v>
      </c>
      <c r="G32" s="10">
        <v>0</v>
      </c>
      <c r="H32" s="11" t="s">
        <v>17</v>
      </c>
      <c r="I32" s="11">
        <v>2</v>
      </c>
      <c r="J32" s="12">
        <f>Table1[[#This Row], [n_mpi_procs]]*Table1[[#This Row], [n_omp_threads]]</f>
        <v>2</v>
      </c>
      <c r="K32" s="12">
        <f>Table1[[#This Row], [n_omp_threads]]*Table1[[#This Row], [n_mpi_procs]]</f>
        <v>2</v>
      </c>
      <c r="L32" s="19">
        <f>Table1[[#This Row], [total_devices]]/Table1[[#This Row], [n_nodes]]</f>
        <v>2</v>
      </c>
      <c r="M32" t="b">
        <f>Table1[[#This Row], [n_mpi_procs]]&gt;=Table1[[#This Row], [n_nodes]]</f>
        <v>1</v>
      </c>
    </row>
    <row r="33" spans="1:13" ht="18.75" customHeight="1" x14ac:dyDescent="0.25">
      <c r="A33" s="14" t="s">
        <v>19</v>
      </c>
      <c r="B33" s="15" t="s">
        <v>15</v>
      </c>
      <c r="C33" s="9" t="s">
        <v>20</v>
      </c>
      <c r="D33" s="10">
        <v>1</v>
      </c>
      <c r="E33" s="10">
        <v>4</v>
      </c>
      <c r="F33" s="10">
        <v>1</v>
      </c>
      <c r="G33" s="10">
        <v>0</v>
      </c>
      <c r="H33" s="11" t="s">
        <v>17</v>
      </c>
      <c r="I33" s="11">
        <v>2</v>
      </c>
      <c r="J33" s="12">
        <f>Table1[[#This Row], [n_mpi_procs]]*Table1[[#This Row], [n_omp_threads]]</f>
        <v>4</v>
      </c>
      <c r="K33" s="12">
        <f>Table1[[#This Row], [n_omp_threads]]*Table1[[#This Row], [n_mpi_procs]]</f>
        <v>4</v>
      </c>
      <c r="L33" s="19">
        <f>Table1[[#This Row], [total_devices]]/Table1[[#This Row], [n_nodes]]</f>
        <v>4</v>
      </c>
      <c r="M33" t="b">
        <f>Table1[[#This Row], [n_mpi_procs]]&gt;=Table1[[#This Row], [n_nodes]]</f>
        <v>1</v>
      </c>
    </row>
    <row r="34" spans="1:13" ht="18.75" customHeight="1" x14ac:dyDescent="0.25">
      <c r="A34" s="14" t="s">
        <v>19</v>
      </c>
      <c r="B34" s="15" t="s">
        <v>15</v>
      </c>
      <c r="C34" s="9" t="s">
        <v>20</v>
      </c>
      <c r="D34" s="10">
        <v>1</v>
      </c>
      <c r="E34" s="10">
        <v>8</v>
      </c>
      <c r="F34" s="10">
        <v>1</v>
      </c>
      <c r="G34" s="10">
        <v>0</v>
      </c>
      <c r="H34" s="11" t="s">
        <v>17</v>
      </c>
      <c r="I34" s="11">
        <v>2</v>
      </c>
      <c r="J34" s="12">
        <f>Table1[[#This Row], [n_mpi_procs]]*Table1[[#This Row], [n_omp_threads]]</f>
        <v>8</v>
      </c>
      <c r="K34" s="12">
        <f>Table1[[#This Row], [n_omp_threads]]*Table1[[#This Row], [n_mpi_procs]]</f>
        <v>8</v>
      </c>
      <c r="L34" s="19">
        <f>Table1[[#This Row], [total_devices]]/Table1[[#This Row], [n_nodes]]</f>
        <v>8</v>
      </c>
      <c r="M34" t="b">
        <f>Table1[[#This Row], [n_mpi_procs]]&gt;=Table1[[#This Row], [n_nodes]]</f>
        <v>1</v>
      </c>
    </row>
    <row r="35" spans="1:13" ht="18.75" customHeight="1" x14ac:dyDescent="0.25">
      <c r="A35" s="14" t="s">
        <v>19</v>
      </c>
      <c r="B35" s="15" t="s">
        <v>15</v>
      </c>
      <c r="C35" s="9" t="s">
        <v>20</v>
      </c>
      <c r="D35" s="10">
        <v>1</v>
      </c>
      <c r="E35" s="10">
        <v>16</v>
      </c>
      <c r="F35" s="10">
        <v>1</v>
      </c>
      <c r="G35" s="10">
        <v>0</v>
      </c>
      <c r="H35" s="11" t="s">
        <v>17</v>
      </c>
      <c r="I35" s="11">
        <v>2</v>
      </c>
      <c r="J35" s="12">
        <f>Table1[[#This Row], [n_mpi_procs]]*Table1[[#This Row], [n_omp_threads]]</f>
        <v>16</v>
      </c>
      <c r="K35" s="12">
        <f>Table1[[#This Row], [n_omp_threads]]*Table1[[#This Row], [n_mpi_procs]]</f>
        <v>16</v>
      </c>
      <c r="L35" s="19">
        <f>Table1[[#This Row], [total_devices]]/Table1[[#This Row], [n_nodes]]</f>
        <v>16</v>
      </c>
      <c r="M35" t="b">
        <f>Table1[[#This Row], [n_mpi_procs]]&gt;=Table1[[#This Row], [n_nodes]]</f>
        <v>1</v>
      </c>
    </row>
    <row r="36" spans="1:13" ht="18.75" customHeight="1" x14ac:dyDescent="0.25">
      <c r="A36" s="14" t="s">
        <v>21</v>
      </c>
      <c r="B36" s="15" t="s">
        <v>15</v>
      </c>
      <c r="C36" s="9" t="s">
        <v>22</v>
      </c>
      <c r="D36" s="10">
        <v>1</v>
      </c>
      <c r="E36" s="10">
        <v>1</v>
      </c>
      <c r="F36" s="10">
        <v>2</v>
      </c>
      <c r="G36" s="10">
        <v>0</v>
      </c>
      <c r="H36" s="11" t="s">
        <v>17</v>
      </c>
      <c r="I36" s="11">
        <v>2</v>
      </c>
      <c r="J36" s="12">
        <f>Table1[[#This Row], [n_mpi_procs]]*Table1[[#This Row], [n_omp_threads]]</f>
        <v>2</v>
      </c>
      <c r="K36" s="12">
        <f>Table1[[#This Row], [n_omp_threads]]*Table1[[#This Row], [n_mpi_procs]]</f>
        <v>2</v>
      </c>
      <c r="L36" s="19">
        <f>Table1[[#This Row], [total_devices]]/Table1[[#This Row], [n_nodes]]</f>
        <v>2</v>
      </c>
      <c r="M36" t="b">
        <f>Table1[[#This Row], [n_mpi_procs]]&gt;=Table1[[#This Row], [n_nodes]]</f>
        <v>1</v>
      </c>
    </row>
    <row r="37" spans="1:13" ht="18.75" customHeight="1" x14ac:dyDescent="0.25">
      <c r="A37" s="14" t="s">
        <v>21</v>
      </c>
      <c r="B37" s="15" t="s">
        <v>15</v>
      </c>
      <c r="C37" s="9" t="s">
        <v>22</v>
      </c>
      <c r="D37" s="10">
        <v>1</v>
      </c>
      <c r="E37" s="10">
        <v>1</v>
      </c>
      <c r="F37" s="10">
        <v>4</v>
      </c>
      <c r="G37" s="10">
        <v>0</v>
      </c>
      <c r="H37" s="11" t="s">
        <v>17</v>
      </c>
      <c r="I37" s="11">
        <v>2</v>
      </c>
      <c r="J37" s="12">
        <f>Table1[[#This Row], [n_mpi_procs]]*Table1[[#This Row], [n_omp_threads]]</f>
        <v>4</v>
      </c>
      <c r="K37" s="12">
        <f>Table1[[#This Row], [n_omp_threads]]*Table1[[#This Row], [n_mpi_procs]]</f>
        <v>4</v>
      </c>
      <c r="L37" s="19">
        <f>Table1[[#This Row], [total_devices]]/Table1[[#This Row], [n_nodes]]</f>
        <v>4</v>
      </c>
      <c r="M37" t="b">
        <f>Table1[[#This Row], [n_mpi_procs]]&gt;=Table1[[#This Row], [n_nodes]]</f>
        <v>1</v>
      </c>
    </row>
    <row r="38" spans="1:13" ht="18.75" customHeight="1" x14ac:dyDescent="0.25">
      <c r="A38" s="14" t="s">
        <v>21</v>
      </c>
      <c r="B38" s="15" t="s">
        <v>15</v>
      </c>
      <c r="C38" s="9" t="s">
        <v>22</v>
      </c>
      <c r="D38" s="10">
        <v>1</v>
      </c>
      <c r="E38" s="10">
        <v>1</v>
      </c>
      <c r="F38" s="10">
        <v>8</v>
      </c>
      <c r="G38" s="10">
        <v>0</v>
      </c>
      <c r="H38" s="11" t="s">
        <v>17</v>
      </c>
      <c r="I38" s="11">
        <v>2</v>
      </c>
      <c r="J38" s="12">
        <f>Table1[[#This Row], [n_mpi_procs]]*Table1[[#This Row], [n_omp_threads]]</f>
        <v>8</v>
      </c>
      <c r="K38" s="12">
        <f>Table1[[#This Row], [n_omp_threads]]*Table1[[#This Row], [n_mpi_procs]]</f>
        <v>8</v>
      </c>
      <c r="L38" s="19">
        <f>Table1[[#This Row], [total_devices]]/Table1[[#This Row], [n_nodes]]</f>
        <v>8</v>
      </c>
      <c r="M38" t="b">
        <f>Table1[[#This Row], [n_mpi_procs]]&gt;=Table1[[#This Row], [n_nodes]]</f>
        <v>1</v>
      </c>
    </row>
    <row r="39" spans="1:13" ht="18.75" customHeight="1" x14ac:dyDescent="0.25">
      <c r="A39" s="14" t="s">
        <v>21</v>
      </c>
      <c r="B39" s="15" t="s">
        <v>15</v>
      </c>
      <c r="C39" s="9" t="s">
        <v>22</v>
      </c>
      <c r="D39" s="10">
        <v>1</v>
      </c>
      <c r="E39" s="10">
        <v>1</v>
      </c>
      <c r="F39" s="10">
        <v>16</v>
      </c>
      <c r="G39" s="10">
        <v>0</v>
      </c>
      <c r="H39" s="11" t="s">
        <v>17</v>
      </c>
      <c r="I39" s="11">
        <v>2</v>
      </c>
      <c r="J39" s="12">
        <f>Table1[[#This Row], [n_mpi_procs]]*Table1[[#This Row], [n_omp_threads]]</f>
        <v>16</v>
      </c>
      <c r="K39" s="12">
        <f>Table1[[#This Row], [n_omp_threads]]*Table1[[#This Row], [n_mpi_procs]]</f>
        <v>16</v>
      </c>
      <c r="L39" s="19">
        <f>Table1[[#This Row], [total_devices]]/Table1[[#This Row], [n_nodes]]</f>
        <v>16</v>
      </c>
      <c r="M39" t="b">
        <f>Table1[[#This Row], [n_mpi_procs]]&gt;=Table1[[#This Row], [n_nodes]]</f>
        <v>1</v>
      </c>
    </row>
    <row r="40" spans="1:13" ht="18.75" customHeight="1" x14ac:dyDescent="0.25">
      <c r="A40" s="14" t="s">
        <v>21</v>
      </c>
      <c r="B40" s="15" t="s">
        <v>15</v>
      </c>
      <c r="C40" s="9" t="s">
        <v>22</v>
      </c>
      <c r="D40" s="10">
        <v>1</v>
      </c>
      <c r="E40" s="10">
        <v>1</v>
      </c>
      <c r="F40" s="10">
        <v>32</v>
      </c>
      <c r="G40" s="10">
        <v>0</v>
      </c>
      <c r="H40" s="11" t="s">
        <v>17</v>
      </c>
      <c r="I40" s="11">
        <v>2</v>
      </c>
      <c r="J40" s="12">
        <f>Table1[[#This Row], [n_mpi_procs]]*Table1[[#This Row], [n_omp_threads]]</f>
        <v>32</v>
      </c>
      <c r="K40" s="12">
        <f>Table1[[#This Row], [n_omp_threads]]*Table1[[#This Row], [n_mpi_procs]]</f>
        <v>32</v>
      </c>
      <c r="L40" s="19">
        <f>Table1[[#This Row], [total_devices]]/Table1[[#This Row], [n_nodes]]</f>
        <v>32</v>
      </c>
      <c r="M40" t="b">
        <f>Table1[[#This Row], [n_mpi_procs]]&gt;=Table1[[#This Row], [n_nodes]]</f>
        <v>1</v>
      </c>
    </row>
    <row r="41" spans="1:13" ht="18.75" customHeight="1" x14ac:dyDescent="0.25">
      <c r="A41" s="14" t="s">
        <v>21</v>
      </c>
      <c r="B41" s="15" t="s">
        <v>15</v>
      </c>
      <c r="C41" s="9" t="s">
        <v>22</v>
      </c>
      <c r="D41" s="10">
        <v>1</v>
      </c>
      <c r="E41" s="10">
        <v>1</v>
      </c>
      <c r="F41" s="10">
        <v>64</v>
      </c>
      <c r="G41" s="10">
        <v>0</v>
      </c>
      <c r="H41" s="11" t="s">
        <v>17</v>
      </c>
      <c r="I41" s="11">
        <v>2</v>
      </c>
      <c r="J41" s="12">
        <f>Table1[[#This Row], [n_mpi_procs]]*Table1[[#This Row], [n_omp_threads]]</f>
        <v>64</v>
      </c>
      <c r="K41" s="12">
        <f>Table1[[#This Row], [n_omp_threads]]*Table1[[#This Row], [n_mpi_procs]]</f>
        <v>64</v>
      </c>
      <c r="L41" s="19">
        <f>Table1[[#This Row], [total_devices]]/Table1[[#This Row], [n_nodes]]</f>
        <v>64</v>
      </c>
      <c r="M41" t="b">
        <f>Table1[[#This Row], [n_mpi_procs]]&gt;=Table1[[#This Row], [n_nodes]]</f>
        <v>1</v>
      </c>
    </row>
    <row r="42" spans="1:13" ht="18.75" customHeight="1" x14ac:dyDescent="0.25">
      <c r="A42" s="14" t="s">
        <v>23</v>
      </c>
      <c r="B42" s="15" t="s">
        <v>15</v>
      </c>
      <c r="C42" s="9" t="s">
        <v>24</v>
      </c>
      <c r="D42" s="10">
        <v>1</v>
      </c>
      <c r="E42" s="10">
        <v>1</v>
      </c>
      <c r="F42" s="10">
        <v>1</v>
      </c>
      <c r="G42" s="10">
        <v>0</v>
      </c>
      <c r="H42" s="11" t="s">
        <v>17</v>
      </c>
      <c r="I42" s="11">
        <v>2</v>
      </c>
      <c r="J42" s="12">
        <f>Table1[[#This Row], [n_mpi_procs]]*Table1[[#This Row], [n_omp_threads]]</f>
        <v>1</v>
      </c>
      <c r="K42" s="12">
        <f>Table1[[#This Row], [n_omp_threads]]*Table1[[#This Row], [n_mpi_procs]]</f>
        <v>1</v>
      </c>
      <c r="L42" s="19">
        <f>Table1[[#This Row], [total_devices]]/Table1[[#This Row], [n_nodes]]</f>
        <v>1</v>
      </c>
      <c r="M42" t="b">
        <f>Table1[[#This Row], [n_mpi_procs]]&gt;=Table1[[#This Row], [n_nodes]]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Lassiter</dc:creator>
  <cp:lastModifiedBy>Lassiter, Daniel Charles (dcl3nd)</cp:lastModifiedBy>
  <dcterms:created xsi:type="dcterms:W3CDTF">2026-02-16T13:41:23Z</dcterms:created>
  <dcterms:modified xsi:type="dcterms:W3CDTF">2026-02-18T03:55:07Z</dcterms:modified>
</cp:coreProperties>
</file>