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F1D804D5-454A-4626-8F03-C37F75AE387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1" l="1"/>
  <c r="M9" i="1"/>
  <c r="K9" i="1"/>
  <c r="L9" i="1" s="1"/>
  <c r="J9" i="1"/>
  <c r="K8" i="1"/>
  <c r="L8" i="1" s="1"/>
  <c r="J8" i="1"/>
  <c r="M7" i="1"/>
  <c r="K7" i="1"/>
  <c r="L7" i="1" s="1"/>
  <c r="J7" i="1"/>
  <c r="M6" i="1"/>
  <c r="K6" i="1"/>
  <c r="L6" i="1" s="1"/>
  <c r="J6" i="1"/>
  <c r="M5" i="1"/>
  <c r="K5" i="1"/>
  <c r="L5" i="1" s="1"/>
  <c r="J5" i="1"/>
  <c r="M4" i="1"/>
  <c r="K4" i="1"/>
  <c r="L4" i="1" s="1"/>
  <c r="J4" i="1"/>
  <c r="M3" i="1"/>
  <c r="K3" i="1"/>
  <c r="L3" i="1" s="1"/>
  <c r="J3" i="1"/>
  <c r="M2" i="1"/>
  <c r="K2" i="1"/>
  <c r="L2" i="1" s="1"/>
  <c r="J2" i="1"/>
</calcChain>
</file>

<file path=xl/sharedStrings.xml><?xml version="1.0" encoding="utf-8"?>
<sst xmlns="http://schemas.openxmlformats.org/spreadsheetml/2006/main" count="46" uniqueCount="22">
  <si>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</si>
  <si>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</si>
  <si>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</si>
  <si>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</si>
  <si>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</si>
  <si>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</si>
  <si>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</si>
  <si>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</si>
  <si>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</si>
  <si>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</si>
  <si>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</si>
  <si>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GPU</t>
  </si>
  <si>
    <t>gpu</t>
  </si>
  <si>
    <t>Multi-CPU - HYB</t>
  </si>
  <si>
    <t>CPU</t>
  </si>
  <si>
    <t>hybrid</t>
  </si>
  <si>
    <t>standard</t>
  </si>
  <si>
    <t>parallel</t>
  </si>
  <si>
    <t>mem_gb_per_cpu</t>
  </si>
  <si>
    <t>gpu-a6000</t>
  </si>
  <si>
    <t>Use</t>
  </si>
  <si>
    <t>iloc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</si>
</sst>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9" totalsRowShown="0">
  <autoFilter ref="A1:N9" xr:uid="{00000000-0009-0000-0100-000001000000}"/>
  <sortState xmlns:xlrd2="http://schemas.microsoft.com/office/spreadsheetml/2017/richdata2" ref="A2:N9">
    <sortCondition ref="M1:M9"/>
  </sortState>
  <tableColumns count="14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  <tableColumn id="14" xr3:uid="{2E707746-4936-409D-83F6-F0094A930949}" name="iloc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9"/>
  <sheetViews>
    <sheetView tabSelected="1" workbookViewId="0">
      <selection activeCell="I7" sqref="I7"/>
    </sheetView>
  </sheetViews>
  <sheetFormatPr defaultRowHeight="15" x14ac:dyDescent="0.25"/>
  <cols>
    <col min="1" max="1" width="29.85546875" style="16" bestFit="1" customWidth="1"/>
    <col min="2" max="2" width="9.28515625" style="16" bestFit="1" customWidth="1"/>
    <col min="3" max="3" width="9.28515625" style="17" bestFit="1" customWidth="1"/>
    <col min="4" max="4" width="19" style="18" bestFit="1" customWidth="1"/>
    <col min="5" max="5" width="22.42578125" style="18" bestFit="1" customWidth="1"/>
    <col min="6" max="7" width="28.28515625" style="18" bestFit="1" customWidth="1"/>
    <col min="8" max="8" width="28.28515625" bestFit="1" customWidth="1"/>
    <col min="9" max="9" width="28.28515625" customWidth="1"/>
    <col min="10" max="10" width="24.7109375" style="18" bestFit="1" customWidth="1"/>
    <col min="11" max="11" width="19" style="18" bestFit="1" customWidth="1"/>
    <col min="12" max="12" width="19.85546875" style="18" bestFit="1" customWidth="1"/>
    <col min="13" max="13" width="13.5703125" bestFit="1" customWidth="1"/>
  </cols>
  <sheetData>
    <row r="1" spans="1:14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18</v>
      </c>
      <c r="J1" s="5" t="s">
        <v>8</v>
      </c>
      <c r="K1" s="5" t="s">
        <v>9</v>
      </c>
      <c r="L1" s="6" t="s">
        <v>10</v>
      </c>
      <c r="M1" s="2" t="s">
        <v>20</v>
      </c>
      <c r="N1" t="s">
        <v>21</v>
      </c>
    </row>
    <row r="2" spans="1:14" ht="18.75" customHeight="1" x14ac:dyDescent="0.25">
      <c r="A2" s="7" t="s">
        <v>11</v>
      </c>
      <c r="B2" s="8" t="s">
        <v>11</v>
      </c>
      <c r="C2" s="9" t="s">
        <v>12</v>
      </c>
      <c r="D2" s="10">
        <v>1</v>
      </c>
      <c r="E2" s="10">
        <v>5</v>
      </c>
      <c r="F2" s="10">
        <v>1</v>
      </c>
      <c r="G2" s="10">
        <v>5</v>
      </c>
      <c r="H2" s="11" t="s">
        <v>19</v>
      </c>
      <c r="I2" s="11">
        <v>8</v>
      </c>
      <c r="J2" s="12">
        <f>Table1[[#This Row], [n_mpi_procs]]*Table1[[#This Row], [n_omp_threads]]</f>
        <v>5</v>
      </c>
      <c r="K2" s="12">
        <f>Table1[[#This Row], [n_omp_threads]]*Table1[[#This Row], [n_mpi_procs]]</f>
        <v>5</v>
      </c>
      <c r="L2" s="15">
        <f>Table1[[#This Row], [total_devices]]/Table1[[#This Row], [n_nodes]]</f>
        <v>5</v>
      </c>
      <c r="M2" t="b">
        <f>Table1[[#This Row], [n_mpi_procs]]&gt;=Table1[[#This Row], [n_nodes]]</f>
        <v>1</v>
      </c>
      <c r="N2">
        <v>4</v>
      </c>
    </row>
    <row r="3" spans="1:14" ht="18.75" customHeight="1" x14ac:dyDescent="0.25">
      <c r="A3" s="7" t="s">
        <v>11</v>
      </c>
      <c r="B3" s="8" t="s">
        <v>11</v>
      </c>
      <c r="C3" s="9" t="s">
        <v>12</v>
      </c>
      <c r="D3" s="10">
        <v>1</v>
      </c>
      <c r="E3" s="10">
        <v>6</v>
      </c>
      <c r="F3" s="10">
        <v>1</v>
      </c>
      <c r="G3" s="10">
        <v>6</v>
      </c>
      <c r="H3" s="11" t="s">
        <v>19</v>
      </c>
      <c r="I3" s="11">
        <v>8</v>
      </c>
      <c r="J3" s="12">
        <f>Table1[[#This Row], [n_mpi_procs]]*Table1[[#This Row], [n_omp_threads]]</f>
        <v>6</v>
      </c>
      <c r="K3" s="12">
        <f>Table1[[#This Row], [n_omp_threads]]*Table1[[#This Row], [n_mpi_procs]]</f>
        <v>6</v>
      </c>
      <c r="L3" s="15">
        <f>Table1[[#This Row], [total_devices]]/Table1[[#This Row], [n_nodes]]</f>
        <v>6</v>
      </c>
      <c r="M3" t="b">
        <f>Table1[[#This Row], [n_mpi_procs]]&gt;=Table1[[#This Row], [n_nodes]]</f>
        <v>1</v>
      </c>
      <c r="N3">
        <v>5</v>
      </c>
    </row>
    <row r="4" spans="1:14" ht="18.75" customHeight="1" x14ac:dyDescent="0.25">
      <c r="A4" s="7" t="s">
        <v>11</v>
      </c>
      <c r="B4" s="8" t="s">
        <v>11</v>
      </c>
      <c r="C4" s="9" t="s">
        <v>12</v>
      </c>
      <c r="D4" s="10">
        <v>1</v>
      </c>
      <c r="E4" s="10">
        <v>7</v>
      </c>
      <c r="F4" s="10">
        <v>1</v>
      </c>
      <c r="G4" s="10">
        <v>7</v>
      </c>
      <c r="H4" s="11" t="s">
        <v>19</v>
      </c>
      <c r="I4" s="11">
        <v>8</v>
      </c>
      <c r="J4" s="12">
        <f>Table1[[#This Row], [n_mpi_procs]]*Table1[[#This Row], [n_omp_threads]]</f>
        <v>7</v>
      </c>
      <c r="K4" s="12">
        <f>Table1[[#This Row], [n_omp_threads]]*Table1[[#This Row], [n_mpi_procs]]</f>
        <v>7</v>
      </c>
      <c r="L4" s="15">
        <f>Table1[[#This Row], [total_devices]]/Table1[[#This Row], [n_nodes]]</f>
        <v>7</v>
      </c>
      <c r="M4" t="b">
        <f>Table1[[#This Row], [n_mpi_procs]]&gt;=Table1[[#This Row], [n_nodes]]</f>
        <v>1</v>
      </c>
      <c r="N4">
        <v>6</v>
      </c>
    </row>
    <row r="5" spans="1:14" ht="18.75" customHeight="1" x14ac:dyDescent="0.25">
      <c r="A5" s="7" t="s">
        <v>11</v>
      </c>
      <c r="B5" s="8" t="s">
        <v>11</v>
      </c>
      <c r="C5" s="9" t="s">
        <v>12</v>
      </c>
      <c r="D5" s="10">
        <v>1</v>
      </c>
      <c r="E5" s="10">
        <v>8</v>
      </c>
      <c r="F5" s="10">
        <v>1</v>
      </c>
      <c r="G5" s="10">
        <v>8</v>
      </c>
      <c r="H5" s="11" t="s">
        <v>19</v>
      </c>
      <c r="I5" s="11">
        <v>8</v>
      </c>
      <c r="J5" s="12">
        <f>Table1[[#This Row], [n_mpi_procs]]*Table1[[#This Row], [n_omp_threads]]</f>
        <v>8</v>
      </c>
      <c r="K5" s="12">
        <f>Table1[[#This Row], [n_omp_threads]]*Table1[[#This Row], [n_mpi_procs]]</f>
        <v>8</v>
      </c>
      <c r="L5" s="15">
        <f>Table1[[#This Row], [total_devices]]/Table1[[#This Row], [n_nodes]]</f>
        <v>8</v>
      </c>
      <c r="M5" t="b">
        <f>Table1[[#This Row], [n_mpi_procs]]&gt;=Table1[[#This Row], [n_nodes]]</f>
        <v>1</v>
      </c>
      <c r="N5">
        <v>7</v>
      </c>
    </row>
    <row r="6" spans="1:14" ht="18.75" customHeight="1" x14ac:dyDescent="0.25">
      <c r="A6" s="7" t="s">
        <v>11</v>
      </c>
      <c r="B6" s="8" t="s">
        <v>11</v>
      </c>
      <c r="C6" s="9" t="s">
        <v>12</v>
      </c>
      <c r="D6" s="10">
        <v>2</v>
      </c>
      <c r="E6" s="10">
        <v>16</v>
      </c>
      <c r="F6" s="10">
        <v>1</v>
      </c>
      <c r="G6" s="10">
        <v>16</v>
      </c>
      <c r="H6" s="11" t="s">
        <v>19</v>
      </c>
      <c r="I6" s="11">
        <v>8</v>
      </c>
      <c r="J6" s="12">
        <f>Table1[[#This Row], [n_mpi_procs]]*Table1[[#This Row], [n_omp_threads]]</f>
        <v>16</v>
      </c>
      <c r="K6" s="12">
        <f>Table1[[#This Row], [n_omp_threads]]*Table1[[#This Row], [n_mpi_procs]]</f>
        <v>16</v>
      </c>
      <c r="L6" s="15">
        <f>Table1[[#This Row], [total_devices]]/Table1[[#This Row], [n_nodes]]</f>
        <v>8</v>
      </c>
      <c r="M6" t="b">
        <f>Table1[[#This Row], [n_mpi_procs]]&gt;=Table1[[#This Row], [n_nodes]]</f>
        <v>1</v>
      </c>
      <c r="N6">
        <v>8</v>
      </c>
    </row>
    <row r="7" spans="1:14" ht="18.75" customHeight="1" x14ac:dyDescent="0.25">
      <c r="A7" s="13" t="s">
        <v>13</v>
      </c>
      <c r="B7" s="14" t="s">
        <v>14</v>
      </c>
      <c r="C7" s="9" t="s">
        <v>15</v>
      </c>
      <c r="D7" s="10">
        <v>1</v>
      </c>
      <c r="E7" s="10">
        <v>32</v>
      </c>
      <c r="F7" s="10">
        <v>2</v>
      </c>
      <c r="G7" s="10">
        <v>0</v>
      </c>
      <c r="H7" s="11" t="s">
        <v>16</v>
      </c>
      <c r="I7" s="11">
        <v>2</v>
      </c>
      <c r="J7" s="12">
        <f>Table1[[#This Row], [n_mpi_procs]]*Table1[[#This Row], [n_omp_threads]]</f>
        <v>64</v>
      </c>
      <c r="K7" s="12">
        <f>Table1[[#This Row], [n_omp_threads]]*Table1[[#This Row], [n_mpi_procs]]</f>
        <v>64</v>
      </c>
      <c r="L7" s="15">
        <f>Table1[[#This Row], [total_devices]]/Table1[[#This Row], [n_nodes]]</f>
        <v>64</v>
      </c>
      <c r="M7" t="b">
        <f>Table1[[#This Row], [n_mpi_procs]]&gt;=Table1[[#This Row], [n_nodes]]</f>
        <v>1</v>
      </c>
      <c r="N7">
        <v>20</v>
      </c>
    </row>
    <row r="8" spans="1:14" ht="18.75" customHeight="1" x14ac:dyDescent="0.25">
      <c r="A8" s="13" t="s">
        <v>13</v>
      </c>
      <c r="B8" s="14" t="s">
        <v>14</v>
      </c>
      <c r="C8" s="9" t="s">
        <v>15</v>
      </c>
      <c r="D8" s="10">
        <v>2</v>
      </c>
      <c r="E8" s="10">
        <v>32</v>
      </c>
      <c r="F8" s="10">
        <v>4</v>
      </c>
      <c r="G8" s="10">
        <v>0</v>
      </c>
      <c r="H8" s="11" t="s">
        <v>17</v>
      </c>
      <c r="I8" s="11">
        <v>2</v>
      </c>
      <c r="J8" s="12">
        <f>Table1[[#This Row], [n_mpi_procs]]*Table1[[#This Row], [n_omp_threads]]</f>
        <v>128</v>
      </c>
      <c r="K8" s="12">
        <f>Table1[[#This Row], [n_omp_threads]]*Table1[[#This Row], [n_mpi_procs]]</f>
        <v>128</v>
      </c>
      <c r="L8" s="15">
        <f>Table1[[#This Row], [total_devices]]/Table1[[#This Row], [n_nodes]]</f>
        <v>64</v>
      </c>
      <c r="M8" t="b">
        <f>Table1[[#This Row], [n_mpi_procs]]&gt;=Table1[[#This Row], [n_nodes]]</f>
        <v>1</v>
      </c>
      <c r="N8">
        <v>28</v>
      </c>
    </row>
    <row r="9" spans="1:14" ht="18.75" customHeight="1" x14ac:dyDescent="0.25">
      <c r="A9" s="13" t="s">
        <v>13</v>
      </c>
      <c r="B9" s="14" t="s">
        <v>14</v>
      </c>
      <c r="C9" s="9" t="s">
        <v>15</v>
      </c>
      <c r="D9" s="10">
        <v>2</v>
      </c>
      <c r="E9" s="10">
        <v>64</v>
      </c>
      <c r="F9" s="10">
        <v>2</v>
      </c>
      <c r="G9" s="10">
        <v>0</v>
      </c>
      <c r="H9" s="11" t="s">
        <v>17</v>
      </c>
      <c r="I9" s="11">
        <v>2</v>
      </c>
      <c r="J9" s="12">
        <f>Table1[[#This Row], [n_mpi_procs]]*Table1[[#This Row], [n_omp_threads]]</f>
        <v>128</v>
      </c>
      <c r="K9" s="12">
        <f>Table1[[#This Row], [n_omp_threads]]*Table1[[#This Row], [n_mpi_procs]]</f>
        <v>128</v>
      </c>
      <c r="L9" s="15">
        <f>Table1[[#This Row], [total_devices]]/Table1[[#This Row], [n_nodes]]</f>
        <v>64</v>
      </c>
      <c r="M9" t="b">
        <f>Table1[[#This Row], [n_mpi_procs]]&gt;=Table1[[#This Row], [n_nodes]]</f>
        <v>1</v>
      </c>
      <c r="N9">
        <v>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2026-02-18T17:19:08Z</dcterms:modified>
</cp:coreProperties>
</file>