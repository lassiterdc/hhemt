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\\wsl.localhost\Ubuntu\home\dcl3nd\dev\TRITON-SWMM_toolkit\test_data\norfolk_coastal_flooding\"/>
    </mc:Choice>
  </mc:AlternateContent>
  <xr:revisionPtr revIDLastSave="0" documentId="13_ncr:1_{179A70BA-1366-4305-BC26-B192052FCFDF}" xr6:coauthVersionLast="47" xr6:coauthVersionMax="47" xr10:uidLastSave="{00000000-0000-0000-0000-000000000000}"/>
  <bookViews>
    <workbookView xWindow="-28920" yWindow="4185" windowWidth="29040" windowHeight="15720" xr2:uid="{00000000-000D-0000-FFFF-FFFF00000000}"/>
  </bookViews>
  <sheets>
    <sheet name="Summary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" i="1" l="1"/>
  <c r="I3" i="1" s="1"/>
  <c r="F3" i="1"/>
  <c r="G3" i="1" s="1"/>
  <c r="H2" i="1"/>
  <c r="I2" i="1" s="1"/>
  <c r="F2" i="1"/>
  <c r="G2" i="1" s="1"/>
</calcChain>
</file>

<file path=xl/sharedStrings.xml><?xml version="1.0" encoding="utf-8"?>
<sst xmlns="http://schemas.openxmlformats.org/spreadsheetml/2006/main" count="13" uniqueCount="10">
  <si>
    <t>GPU</t>
  </si>
  <si>
    <t>MPI_ranks_per_node</t>
  </si>
  <si>
    <t>OpenMP_threads_per_rank</t>
  </si>
  <si>
    <t>devices_per_node</t>
  </si>
  <si>
    <t>hardware_utilization_strategy</t>
  </si>
  <si>
    <t>device</t>
  </si>
  <si>
    <t>nodes</t>
  </si>
  <si>
    <t>total_MPI_ranks</t>
  </si>
  <si>
    <t>total_OpenMP_threads</t>
  </si>
  <si>
    <t>total_devices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</si>
</sst>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FFFFCC"/>
      </patternFill>
    </fill>
  </fills>
  <borders count="10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2" fillId="2" borderId="1" applyNumberFormat="0" applyAlignment="0" applyProtection="0"/>
    <xf numFmtId="0" fontId="3" fillId="3" borderId="2" applyNumberFormat="0" applyAlignment="0" applyProtection="0"/>
    <xf numFmtId="0" fontId="1" fillId="4" borderId="3" applyNumberFormat="0" applyFont="0" applyAlignment="0" applyProtection="0"/>
  </cellStyleXfs>
  <cellXfs count="9">
    <xf numFmtId="0" fontId="0" fillId="0" borderId="0" xfId="0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4" borderId="8" xfId="3" applyFont="1" applyBorder="1"/>
    <xf numFmtId="0" fontId="0" fillId="4" borderId="4" xfId="3" applyFont="1" applyBorder="1"/>
    <xf numFmtId="0" fontId="2" fillId="2" borderId="4" xfId="1" applyBorder="1"/>
    <xf numFmtId="0" fontId="3" fillId="3" borderId="4" xfId="2" applyBorder="1"/>
    <xf numFmtId="0" fontId="3" fillId="3" borderId="9" xfId="2" applyNumberFormat="1" applyBorder="1"/>
  </cellXfs>
  <cellStyles count="4">
    <cellStyle name="Input" xfId="1" builtinId="20"/>
    <cellStyle name="Normal" xfId="0" builtinId="0"/>
    <cellStyle name="Note" xfId="3" builtinId="10"/>
    <cellStyle name="Output" xfId="2" builtinId="21"/>
  </cellStyles>
  <dxfs count="13">
    <dxf>
      <numFmt numFmtId="0" formatCode="General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57150</xdr:colOff>
      <xdr:row>0</xdr:row>
      <xdr:rowOff>104775</xdr:rowOff>
    </xdr:from>
    <xdr:to>
      <xdr:col>17</xdr:col>
      <xdr:colOff>66675</xdr:colOff>
      <xdr:row>10</xdr:row>
      <xdr:rowOff>161925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64078ABA-2785-9D8C-7A72-890AD15CFDCD}"/>
            </a:ext>
          </a:extLst>
        </xdr:cNvPr>
        <xdr:cNvSpPr txBox="1"/>
      </xdr:nvSpPr>
      <xdr:spPr>
        <a:xfrm>
          <a:off x="12706350" y="104775"/>
          <a:ext cx="4276725" cy="19621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- Frontier has 64 physical cores per</a:t>
          </a:r>
          <a:r>
            <a:rPr lang="en-US" sz="1100" baseline="0"/>
            <a:t> node and 8 GPUs per node</a:t>
          </a:r>
        </a:p>
        <a:p>
          <a:endParaRPr lang="en-US" sz="1100"/>
        </a:p>
        <a:p>
          <a:r>
            <a:rPr lang="en-US" sz="1100"/>
            <a:t>Multi</a:t>
          </a:r>
          <a:r>
            <a:rPr lang="en-US" sz="1100" baseline="0"/>
            <a:t> CPU test summary:</a:t>
          </a:r>
        </a:p>
        <a:p>
          <a:r>
            <a:rPr lang="en-US" sz="1100" baseline="0"/>
            <a:t>- Test every combination of OpenMP, MPI, and hybrid configurations on 1 node across n-devices = [2, 4, 8, 16, 32, 64]</a:t>
          </a:r>
        </a:p>
        <a:p>
          <a:r>
            <a:rPr lang="en-US" sz="1100" baseline="0"/>
            <a:t>- Test 2, 4, and 8 nodes with n-devices-per-node=64</a:t>
          </a:r>
        </a:p>
        <a:p>
          <a:endParaRPr lang="en-US" sz="1100" baseline="0"/>
        </a:p>
        <a:p>
          <a:r>
            <a:rPr lang="en-US" sz="1100" baseline="0"/>
            <a:t>GPU test summary:</a:t>
          </a:r>
        </a:p>
        <a:p>
          <a:r>
            <a:rPr lang="en-US" sz="1100" baseline="0"/>
            <a:t>- On 1 node, test n-devices from 1 through 8</a:t>
          </a:r>
        </a:p>
        <a:p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- Test 2, 4, and 8 nodes with n-devices-per-node=8</a:t>
          </a:r>
          <a:endParaRPr lang="en-US">
            <a:effectLst/>
          </a:endParaRPr>
        </a:p>
        <a:p>
          <a:endParaRPr lang="en-US" sz="1100"/>
        </a:p>
      </xdr:txBody>
    </xdr:sp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A4495C6-64F1-4654-82C3-1417CFDBC1D1}" name="Table1" displayName="Table1" ref="A1:I3" totalsRowShown="0" headerRowDxfId="12" headerRowBorderDxfId="11" tableBorderDxfId="10" totalsRowBorderDxfId="9">
  <autoFilter ref="A1:I3" xr:uid="{1A4495C6-64F1-4654-82C3-1417CFDBC1D1}"/>
  <sortState xmlns:xlrd2="http://schemas.microsoft.com/office/spreadsheetml/2017/richdata2" ref="A2:I3">
    <sortCondition descending="1" ref="B1:B3"/>
  </sortState>
  <tableColumns count="9">
    <tableColumn id="11" xr3:uid="{3DECB62C-AAF2-4EC7-8598-5E8776D4B845}" name="hardware_utilization_strategy" dataDxfId="8" dataCellStyle="Note"/>
    <tableColumn id="9" xr3:uid="{047B8296-C28F-43DA-A753-CC6445B34CE4}" name="device" dataDxfId="7" dataCellStyle="Note"/>
    <tableColumn id="2" xr3:uid="{09DC1F4B-B2B0-493A-B83E-1D7D4EA31F4C}" name="nodes" dataDxfId="6" dataCellStyle="Input"/>
    <tableColumn id="3" xr3:uid="{3A65E5E5-CB8B-4698-A27C-21DF3A95D49A}" name="MPI_ranks_per_node" dataDxfId="5" dataCellStyle="Input"/>
    <tableColumn id="4" xr3:uid="{D366E835-7967-45B3-94DD-92B04C3126AA}" name="OpenMP_threads_per_rank" dataDxfId="4" dataCellStyle="Input"/>
    <tableColumn id="5" xr3:uid="{4E090350-4FC8-498D-A3DF-C96FED73C7DB}" name="total_MPI_ranks" dataDxfId="3" dataCellStyle="Output"/>
    <tableColumn id="6" xr3:uid="{F6B7A6B4-BD4B-4406-BCB7-C3DBCC48FA6B}" name="total_OpenMP_threads" dataDxfId="2" dataCellStyle="Output"/>
    <tableColumn id="7" xr3:uid="{8B064801-C992-4C19-AF9B-73CC7D0951B1}" name="total_devices" dataDxfId="1" dataCellStyle="Output"/>
    <tableColumn id="10" xr3:uid="{C813D3D6-6AEA-4168-A5C0-6FD56BB1D36D}" name="devices_per_node" dataDxfId="0" dataCellStyle="Output">
      <calculatedColumnFormula>Table1[[#This Row],[total_devices]]/Table1[[#This Row],[nodes]]</calculatedColumnFormula>
    </tableColumn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"/>
  <sheetViews>
    <sheetView tabSelected="1" workbookViewId="0">
      <selection activeCell="F8" sqref="F8"/>
    </sheetView>
  </sheetViews>
  <sheetFormatPr defaultRowHeight="15" x14ac:dyDescent="0.25"/>
  <cols>
    <col min="1" max="1" width="29.85546875" bestFit="1" customWidth="1"/>
    <col min="2" max="2" width="9.28515625" bestFit="1" customWidth="1"/>
    <col min="3" max="3" width="9" bestFit="1" customWidth="1"/>
    <col min="4" max="4" width="22.42578125" bestFit="1" customWidth="1"/>
    <col min="5" max="5" width="28.28515625" bestFit="1" customWidth="1"/>
    <col min="6" max="6" width="18.140625" bestFit="1" customWidth="1"/>
    <col min="7" max="7" width="24.7109375" bestFit="1" customWidth="1"/>
    <col min="8" max="8" width="19" customWidth="1"/>
    <col min="9" max="9" width="19.85546875" bestFit="1" customWidth="1"/>
  </cols>
  <sheetData>
    <row r="1" spans="1:9" x14ac:dyDescent="0.25">
      <c r="A1" s="1" t="s">
        <v>4</v>
      </c>
      <c r="B1" s="2" t="s">
        <v>5</v>
      </c>
      <c r="C1" s="2" t="s">
        <v>6</v>
      </c>
      <c r="D1" s="2" t="s">
        <v>1</v>
      </c>
      <c r="E1" s="2" t="s">
        <v>2</v>
      </c>
      <c r="F1" s="2" t="s">
        <v>7</v>
      </c>
      <c r="G1" s="2" t="s">
        <v>8</v>
      </c>
      <c r="H1" s="2" t="s">
        <v>9</v>
      </c>
      <c r="I1" s="3" t="s">
        <v>3</v>
      </c>
    </row>
    <row r="2" spans="1:9" x14ac:dyDescent="0.25">
      <c r="A2" s="4" t="s">
        <v>0</v>
      </c>
      <c r="B2" s="5" t="s">
        <v>0</v>
      </c>
      <c r="C2" s="6">
        <v>1</v>
      </c>
      <c r="D2" s="6">
        <v>1</v>
      </c>
      <c r="E2" s="6">
        <v>1</v>
      </c>
      <c r="F2" s="7">
        <f>Table1[[#This Row],[MPI_ranks_per_node]]*Table1[[#This Row],[nodes]]</f>
        <v>1</v>
      </c>
      <c r="G2" s="7">
        <f>Table1[[#This Row],[total_MPI_ranks]]*Table1[[#This Row],[OpenMP_threads_per_rank]]</f>
        <v>1</v>
      </c>
      <c r="H2" s="7">
        <f>Table1[[#This Row],[OpenMP_threads_per_rank]]*Table1[[#This Row],[MPI_ranks_per_node]]*Table1[[#This Row],[nodes]]</f>
        <v>1</v>
      </c>
      <c r="I2" s="8">
        <f>Table1[[#This Row],[total_devices]]/Table1[[#This Row],[nodes]]</f>
        <v>1</v>
      </c>
    </row>
    <row r="3" spans="1:9" x14ac:dyDescent="0.25">
      <c r="A3" s="4" t="s">
        <v>0</v>
      </c>
      <c r="B3" s="5" t="s">
        <v>0</v>
      </c>
      <c r="C3" s="6">
        <v>1</v>
      </c>
      <c r="D3" s="6">
        <v>2</v>
      </c>
      <c r="E3" s="6">
        <v>1</v>
      </c>
      <c r="F3" s="7">
        <f>Table1[[#This Row],[MPI_ranks_per_node]]*Table1[[#This Row],[nodes]]</f>
        <v>2</v>
      </c>
      <c r="G3" s="7">
        <f>Table1[[#This Row],[total_MPI_ranks]]*Table1[[#This Row],[OpenMP_threads_per_rank]]</f>
        <v>2</v>
      </c>
      <c r="H3" s="7">
        <f>Table1[[#This Row],[OpenMP_threads_per_rank]]*Table1[[#This Row],[MPI_ranks_per_node]]*Table1[[#This Row],[nodes]]</f>
        <v>2</v>
      </c>
      <c r="I3" s="8">
        <f>Table1[[#This Row],[total_devices]]/Table1[[#This Row],[nodes]]</f>
        <v>2</v>
      </c>
    </row>
  </sheetData>
  <pageMargins left="0.7" right="0.7" top="0.75" bottom="0.75" header="0.3" footer="0.3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Lassiter</dc:creator>
  <cp:lastModifiedBy>Lassiter, Daniel Charles (dcl3nd)</cp:lastModifiedBy>
  <dcterms:created xsi:type="dcterms:W3CDTF">2015-06-05T18:17:20Z</dcterms:created>
  <dcterms:modified xsi:type="dcterms:W3CDTF">2026-01-10T03:32:40Z</dcterms:modified>
</cp:coreProperties>
</file>