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4185" windowWidth="29040" windowHeight="1572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0" fontId="2" fillId="2" borderId="1"/>
    <xf numFmtId="0" fontId="3" fillId="3" borderId="2"/>
    <xf numFmtId="0" fontId="1" fillId="4" borderId="3"/>
  </cellStyleXfs>
  <cellXfs count="18"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4" borderId="8" pivotButton="0" quotePrefix="0" xfId="3"/>
    <xf numFmtId="0" fontId="0" fillId="4" borderId="4" pivotButton="0" quotePrefix="0" xfId="3"/>
    <xf numFmtId="0" fontId="2" fillId="2" borderId="4" pivotButton="0" quotePrefix="0" xfId="1"/>
    <xf numFmtId="0" fontId="3" fillId="3" borderId="4" pivotButton="0" quotePrefix="0" xfId="2"/>
    <xf numFmtId="0" fontId="3" fillId="3" borderId="9" pivotButton="0" quotePrefix="0" xfId="2"/>
    <xf numFmtId="0" fontId="3" fillId="3" borderId="9" pivotButton="0" quotePrefix="0" xfId="2"/>
    <xf numFmtId="0" fontId="3" fillId="3" borderId="6" pivotButton="0" quotePrefix="0" xfId="2"/>
    <xf numFmtId="0" fontId="0" fillId="4" borderId="10" pivotButton="0" quotePrefix="0" xfId="3"/>
    <xf numFmtId="0" fontId="0" fillId="4" borderId="11" pivotButton="0" quotePrefix="0" xfId="3"/>
    <xf numFmtId="0" fontId="2" fillId="2" borderId="11" pivotButton="0" quotePrefix="0" xfId="1"/>
    <xf numFmtId="0" fontId="0" fillId="4" borderId="8" pivotButton="0" quotePrefix="0" xfId="3"/>
    <xf numFmtId="0" fontId="2" fillId="2" borderId="4" pivotButton="0" quotePrefix="0" xfId="1"/>
    <xf numFmtId="0" fontId="3" fillId="3" borderId="4" pivotButton="0" quotePrefix="0" xfId="2"/>
    <xf numFmtId="0" fontId="3" fillId="3" borderId="9" pivotButton="0" quotePrefix="0" xfId="2"/>
  </cellXfs>
  <cellStyles count="4">
    <cellStyle name="Normal" xfId="0" builtinId="0"/>
    <cellStyle name="Input" xfId="1" builtinId="20"/>
    <cellStyle name="Output" xfId="2" builtinId="21"/>
    <cellStyle name="Note" xfId="3" builtinId="10"/>
  </cellStyles>
  <dxfs count="17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7" headerRowCount="1" totalsRowShown="0" headerRowDxfId="16" headerRowBorderDxfId="15" tableBorderDxfId="14" totalsRowBorderDxfId="13">
  <autoFilter ref="A1:M7"/>
  <sortState ref="A2:M5">
    <sortCondition ref="M1:M5"/>
  </sortState>
  <tableColumns count="13">
    <tableColumn id="11" name="hardware_utilization_strategy" dataDxfId="12" dataCellStyle="Note"/>
    <tableColumn id="9" name="device" dataDxfId="11" dataCellStyle="Note"/>
    <tableColumn id="13" name="TRITON_SWMM_make_command" dataDxfId="0" dataCellStyle="Input"/>
    <tableColumn id="8" name="run_mode" dataDxfId="10" dataCellStyle="Input"/>
    <tableColumn id="2" name="n_nodes" dataDxfId="9" dataCellStyle="Input"/>
    <tableColumn id="3" name="n_mpi_procs" dataDxfId="8" dataCellStyle="Input"/>
    <tableColumn id="4" name="n_omp_threads" dataDxfId="7" dataCellStyle="Input"/>
    <tableColumn id="12" name="n_gpus" dataDxfId="6" dataCellStyle="Input"/>
    <tableColumn id="5" name="total_MPI_ranks" dataDxfId="5" dataCellStyle="Output"/>
    <tableColumn id="6" name="total_OpenMP_threads" dataDxfId="4" dataCellStyle="Output"/>
    <tableColumn id="7" name="total_devices" dataDxfId="3" dataCellStyle="Output"/>
    <tableColumn id="10" name="devices_per_node" dataDxfId="2" dataCellStyle="Output">
      <calculatedColumnFormula>Table1[[#This Row],[total_devices]]/Table1[[#This Row],[n_nodes]]</calculatedColumnFormula>
    </tableColumn>
    <tableColumn id="1" name="selected" dataDxfId="1" dataCellStyle="Outp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1" workbookViewId="0">
      <selection activeCell="D8" sqref="D8"/>
    </sheetView>
  </sheetViews>
  <sheetFormatPr baseColWidth="8" defaultRowHeight="15"/>
  <cols>
    <col width="29.85546875" bestFit="1" customWidth="1" min="1" max="1"/>
    <col width="9.28515625" bestFit="1" customWidth="1" min="2" max="2"/>
    <col width="31.28515625" bestFit="1" customWidth="1" min="3" max="3"/>
    <col width="15.140625" customWidth="1" min="4" max="4"/>
    <col width="10.85546875" bestFit="1" customWidth="1" min="5" max="5"/>
    <col width="22.42578125" bestFit="1" customWidth="1" min="6" max="6"/>
    <col width="28.28515625" bestFit="1" customWidth="1" min="7" max="7"/>
    <col width="28.28515625" customWidth="1" min="8" max="8"/>
    <col width="18.140625" bestFit="1" customWidth="1" min="9" max="9"/>
    <col width="24.7109375" bestFit="1" customWidth="1" min="10" max="10"/>
    <col width="19" customWidth="1" min="11" max="11"/>
    <col width="19.85546875" bestFit="1" customWidth="1" min="12" max="12"/>
  </cols>
  <sheetData>
    <row r="1">
      <c r="A1" t="inlineStr">
        <is>
          <t>member_id</t>
        </is>
      </c>
      <c r="B1" s="1" t="inlineStr">
        <is>
          <t>hardware_utilization_strategy</t>
        </is>
      </c>
      <c r="C1" s="2" t="inlineStr">
        <is>
          <t>device</t>
        </is>
      </c>
      <c r="D1" s="2" t="inlineStr">
        <is>
          <t>TRITON_SWMM_make_command</t>
        </is>
      </c>
      <c r="E1" s="2" t="inlineStr">
        <is>
          <t>run_mode</t>
        </is>
      </c>
      <c r="F1" s="2" t="inlineStr">
        <is>
          <t>n_nodes</t>
        </is>
      </c>
      <c r="G1" s="2" t="inlineStr">
        <is>
          <t>n_mpi_procs</t>
        </is>
      </c>
      <c r="H1" s="2" t="inlineStr">
        <is>
          <t>n_omp_threads</t>
        </is>
      </c>
      <c r="I1" s="2" t="inlineStr">
        <is>
          <t>n_gpus</t>
        </is>
      </c>
      <c r="J1" s="2" t="inlineStr">
        <is>
          <t>total_MPI_ranks</t>
        </is>
      </c>
      <c r="K1" s="2" t="inlineStr">
        <is>
          <t>total_OpenMP_threads</t>
        </is>
      </c>
      <c r="L1" s="2" t="inlineStr">
        <is>
          <t>total_devices</t>
        </is>
      </c>
      <c r="M1" s="3" t="inlineStr">
        <is>
          <t>devices_per_node</t>
        </is>
      </c>
      <c r="N1" s="2" t="inlineStr">
        <is>
          <t>selected</t>
        </is>
      </c>
    </row>
    <row r="2">
      <c r="A2" t="n">
        <v>0</v>
      </c>
      <c r="B2" s="14" t="inlineStr">
        <is>
          <t>Multi-CPU - MPI</t>
        </is>
      </c>
      <c r="C2" s="5" t="inlineStr">
        <is>
          <t>CPU</t>
        </is>
      </c>
      <c r="D2" s="15" t="inlineStr">
        <is>
          <t>frontier_swmm_omp</t>
        </is>
      </c>
      <c r="E2" s="15" t="inlineStr">
        <is>
          <t>mpi</t>
        </is>
      </c>
      <c r="F2" s="15" t="n">
        <v>1</v>
      </c>
      <c r="G2" s="15" t="n">
        <v>2</v>
      </c>
      <c r="H2" s="15" t="n">
        <v>1</v>
      </c>
      <c r="I2" s="15" t="n">
        <v>0</v>
      </c>
      <c r="J2" s="16">
        <f>Table1[[#This Row],[n_mpi_procs]]*Table1[[#This Row],[n_nodes]]</f>
        <v/>
      </c>
      <c r="K2" s="16">
        <f>Table1[[#This Row],[total_MPI_ranks]]*Table1[[#This Row],[n_omp_threads]]</f>
        <v/>
      </c>
      <c r="L2" s="16">
        <f>Table1[[#This Row],[n_omp_threads]]*Table1[[#This Row],[n_mpi_procs]]*Table1[[#This Row],[n_nodes]]</f>
        <v/>
      </c>
      <c r="M2" s="17">
        <f>Table1[[#This Row],[total_devices]]/Table1[[#This Row],[n_nodes]]</f>
        <v/>
      </c>
      <c r="N2" s="10" t="b">
        <v>1</v>
      </c>
    </row>
    <row r="3">
      <c r="A3" t="n">
        <v>1</v>
      </c>
      <c r="B3" s="14" t="inlineStr">
        <is>
          <t>Multi-CPU - OMP</t>
        </is>
      </c>
      <c r="C3" s="5" t="inlineStr">
        <is>
          <t>CPU</t>
        </is>
      </c>
      <c r="D3" s="15" t="inlineStr">
        <is>
          <t>frontier_swmm_omp</t>
        </is>
      </c>
      <c r="E3" s="15" t="inlineStr">
        <is>
          <t>openmp</t>
        </is>
      </c>
      <c r="F3" s="15" t="n">
        <v>1</v>
      </c>
      <c r="G3" s="15" t="n">
        <v>1</v>
      </c>
      <c r="H3" s="15" t="n">
        <v>2</v>
      </c>
      <c r="I3" s="15" t="n">
        <v>0</v>
      </c>
      <c r="J3" s="16">
        <f>Table1[[#This Row],[n_mpi_procs]]*Table1[[#This Row],[n_nodes]]</f>
        <v/>
      </c>
      <c r="K3" s="16">
        <f>Table1[[#This Row],[total_MPI_ranks]]*Table1[[#This Row],[n_omp_threads]]</f>
        <v/>
      </c>
      <c r="L3" s="16">
        <f>Table1[[#This Row],[n_omp_threads]]*Table1[[#This Row],[n_mpi_procs]]*Table1[[#This Row],[n_nodes]]</f>
        <v/>
      </c>
      <c r="M3" s="17">
        <f>Table1[[#This Row],[total_devices]]/Table1[[#This Row],[n_nodes]]</f>
        <v/>
      </c>
      <c r="N3" s="16" t="b">
        <v>1</v>
      </c>
    </row>
    <row r="4">
      <c r="A4" t="n">
        <v>2</v>
      </c>
      <c r="B4" s="14" t="inlineStr">
        <is>
          <t>Multi-CPU - HYB</t>
        </is>
      </c>
      <c r="C4" s="5" t="inlineStr">
        <is>
          <t>CPU</t>
        </is>
      </c>
      <c r="D4" s="15" t="inlineStr">
        <is>
          <t>frontier_swmm_omp</t>
        </is>
      </c>
      <c r="E4" s="15" t="inlineStr">
        <is>
          <t>hybrid</t>
        </is>
      </c>
      <c r="F4" s="15" t="n">
        <v>1</v>
      </c>
      <c r="G4" s="15" t="n">
        <v>2</v>
      </c>
      <c r="H4" s="15" t="n">
        <v>2</v>
      </c>
      <c r="I4" s="15" t="n">
        <v>0</v>
      </c>
      <c r="J4" s="16">
        <f>Table1[[#This Row],[n_mpi_procs]]*Table1[[#This Row],[n_nodes]]</f>
        <v/>
      </c>
      <c r="K4" s="16">
        <f>Table1[[#This Row],[total_MPI_ranks]]*Table1[[#This Row],[n_omp_threads]]</f>
        <v/>
      </c>
      <c r="L4" s="16">
        <f>Table1[[#This Row],[n_omp_threads]]*Table1[[#This Row],[n_mpi_procs]]*Table1[[#This Row],[n_nodes]]</f>
        <v/>
      </c>
      <c r="M4" s="17">
        <f>Table1[[#This Row],[total_devices]]/Table1[[#This Row],[n_nodes]]</f>
        <v/>
      </c>
      <c r="N4" s="16" t="b">
        <v>1</v>
      </c>
    </row>
    <row r="5">
      <c r="A5" t="n">
        <v>3</v>
      </c>
      <c r="B5" s="14" t="inlineStr">
        <is>
          <t>Baseline - 1 CPU</t>
        </is>
      </c>
      <c r="C5" s="5" t="inlineStr">
        <is>
          <t>CPU</t>
        </is>
      </c>
      <c r="D5" s="15" t="inlineStr">
        <is>
          <t>frontier_swmm_omp</t>
        </is>
      </c>
      <c r="E5" s="15" t="inlineStr">
        <is>
          <t>serial</t>
        </is>
      </c>
      <c r="F5" s="15" t="n">
        <v>1</v>
      </c>
      <c r="G5" s="15" t="n">
        <v>1</v>
      </c>
      <c r="H5" s="15" t="n">
        <v>1</v>
      </c>
      <c r="I5" s="15" t="n">
        <v>0</v>
      </c>
      <c r="J5" s="16">
        <f>Table1[[#This Row],[n_mpi_procs]]*Table1[[#This Row],[n_nodes]]</f>
        <v/>
      </c>
      <c r="K5" s="16">
        <f>Table1[[#This Row],[total_MPI_ranks]]*Table1[[#This Row],[n_omp_threads]]</f>
        <v/>
      </c>
      <c r="L5" s="16">
        <f>Table1[[#This Row],[n_omp_threads]]*Table1[[#This Row],[n_mpi_procs]]*Table1[[#This Row],[n_nodes]]</f>
        <v/>
      </c>
      <c r="M5" s="17">
        <f>Table1[[#This Row],[total_devices]]/Table1[[#This Row],[n_nodes]]</f>
        <v/>
      </c>
      <c r="N5" s="16" t="b">
        <v>1</v>
      </c>
    </row>
    <row r="6">
      <c r="A6" t="n">
        <v>4</v>
      </c>
      <c r="B6" s="11" t="inlineStr">
        <is>
          <t>1 GPU</t>
        </is>
      </c>
      <c r="C6" s="12" t="inlineStr">
        <is>
          <t>GPU</t>
        </is>
      </c>
      <c r="D6" s="15" t="inlineStr">
        <is>
          <t>frontier_swmm_gpu</t>
        </is>
      </c>
      <c r="E6" s="15" t="inlineStr">
        <is>
          <t>gpu</t>
        </is>
      </c>
      <c r="F6" s="15" t="n">
        <v>1</v>
      </c>
      <c r="G6" s="15" t="n">
        <v>1</v>
      </c>
      <c r="H6" s="15" t="n">
        <v>1</v>
      </c>
      <c r="I6" s="13" t="n">
        <v>1</v>
      </c>
      <c r="J6" s="16">
        <f>Table1[[#This Row],[n_mpi_procs]]*Table1[[#This Row],[n_nodes]]</f>
        <v/>
      </c>
      <c r="K6" s="16">
        <f>Table1[[#This Row],[total_MPI_ranks]]*Table1[[#This Row],[n_omp_threads]]</f>
        <v/>
      </c>
      <c r="L6" s="16">
        <f>Table1[[#This Row],[n_omp_threads]]*Table1[[#This Row],[n_mpi_procs]]*Table1[[#This Row],[n_nodes]]</f>
        <v/>
      </c>
      <c r="M6" s="17">
        <f>Table1[[#This Row],[total_devices]]/Table1[[#This Row],[n_nodes]]</f>
        <v/>
      </c>
      <c r="N6" s="16" t="b">
        <v>1</v>
      </c>
    </row>
    <row r="7">
      <c r="A7" t="n">
        <v>5</v>
      </c>
      <c r="B7" s="14" t="inlineStr">
        <is>
          <t>Mult-GPU MPI</t>
        </is>
      </c>
      <c r="C7" s="12" t="inlineStr">
        <is>
          <t>GPU</t>
        </is>
      </c>
      <c r="D7" s="15" t="inlineStr">
        <is>
          <t>frontier_swmm_gpu</t>
        </is>
      </c>
      <c r="E7" s="15" t="inlineStr">
        <is>
          <t>gpu</t>
        </is>
      </c>
      <c r="F7" s="15" t="n">
        <v>1</v>
      </c>
      <c r="G7" s="15" t="n">
        <v>2</v>
      </c>
      <c r="H7" s="15" t="n">
        <v>1</v>
      </c>
      <c r="I7" s="15" t="n">
        <v>2</v>
      </c>
      <c r="J7" s="16">
        <f>Table1[[#This Row],[n_mpi_procs]]*Table1[[#This Row],[n_nodes]]</f>
        <v/>
      </c>
      <c r="K7" s="16">
        <f>Table1[[#This Row],[total_MPI_ranks]]*Table1[[#This Row],[n_omp_threads]]</f>
        <v/>
      </c>
      <c r="L7" s="16">
        <f>Table1[[#This Row],[n_omp_threads]]*Table1[[#This Row],[n_mpi_procs]]*Table1[[#This Row],[n_nodes]]</f>
        <v/>
      </c>
      <c r="M7" s="17">
        <f>Table1[[#This Row],[total_devices]]/Table1[[#This Row],[n_nodes]]</f>
        <v/>
      </c>
      <c r="N7" s="16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Lassiter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2026-08-30T23:35:56Z</dcterms:modified>
  <cp:lastModifiedBy>Lassiter, Daniel Charles (dcl3nd)</cp:lastModifiedBy>
</cp:coreProperties>
</file>