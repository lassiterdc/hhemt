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43258BAD-AC53-4932-A934-C51035525A8F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L7" i="1" s="1"/>
  <c r="I7" i="1"/>
  <c r="J7" i="1" s="1"/>
  <c r="K6" i="1"/>
  <c r="L6" i="1" s="1"/>
  <c r="I6" i="1"/>
  <c r="J6" i="1" s="1"/>
  <c r="K4" i="1"/>
  <c r="L4" i="1" s="1"/>
  <c r="K5" i="1"/>
  <c r="L5" i="1" s="1"/>
  <c r="I5" i="1"/>
  <c r="J5" i="1" s="1"/>
  <c r="I4" i="1"/>
  <c r="J4" i="1" s="1"/>
  <c r="K2" i="1"/>
  <c r="L2" i="1" s="1"/>
  <c r="K3" i="1"/>
  <c r="L3" i="1" s="1"/>
  <c r="I3" i="1"/>
  <c r="J3" i="1" s="1"/>
  <c r="I2" i="1"/>
  <c r="J2" i="1" s="1"/>
</calcChain>
</file>

<file path=xl/sharedStrings.xml><?xml version="1.0" encoding="utf-8"?>
<sst xmlns="http://schemas.openxmlformats.org/spreadsheetml/2006/main" count="37" uniqueCount="28">
  <si>
    <t>CPU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</si>
  <si>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</si>
  <si>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</si>
  <si>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</si>
  <si>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</si>
  <si>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</si>
  <si>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</si>
  <si>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</si>
  <si>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total_MPI_ranks</t>
  </si>
  <si>
    <t>total_OpenMP_threads</t>
  </si>
  <si>
    <t>total_devices</t>
  </si>
  <si>
    <t>selected</t>
  </si>
  <si>
    <t>run_mode</t>
  </si>
  <si>
    <t>serial</t>
  </si>
  <si>
    <t>hybrid</t>
  </si>
  <si>
    <t>openmp</t>
  </si>
  <si>
    <t>mpi</t>
  </si>
  <si>
    <t>n_nodes</t>
  </si>
  <si>
    <t>n_omp_threads</t>
  </si>
  <si>
    <t>n_gpus</t>
  </si>
  <si>
    <t>n_mpi_procs</t>
  </si>
  <si>
    <t>TRITON_SWMM_make_command</t>
  </si>
  <si>
    <t>frontier_swmm_omp</t>
  </si>
  <si>
    <t>frontier_swmm_gpu</t>
  </si>
  <si>
    <t>GPU</t>
  </si>
  <si>
    <t>1 GPU</t>
  </si>
  <si>
    <t>Mult-GPU MPI</t>
  </si>
  <si>
    <t>gpu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</si>
</sst>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18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3" fillId="3" borderId="9" xfId="2" applyBorder="1"/>
    <xf numFmtId="0" fontId="3" fillId="3" borderId="6" xfId="2" applyBorder="1"/>
    <xf numFmtId="0" fontId="0" fillId="4" borderId="10" xfId="3" applyFont="1" applyBorder="1"/>
    <xf numFmtId="0" fontId="0" fillId="4" borderId="11" xfId="3" applyFont="1" applyBorder="1"/>
    <xf numFmtId="0" fontId="2" fillId="2" borderId="11" xfId="1" applyBorder="1"/>
    <xf numFmtId="0" fontId="0" fillId="4" borderId="8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0</xdr:row>
      <xdr:rowOff>104775</xdr:rowOff>
    </xdr:from>
    <xdr:to>
      <xdr:col>20</xdr:col>
      <xdr:colOff>66675</xdr:colOff>
      <xdr:row>5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2706350" y="104775"/>
          <a:ext cx="4276725" cy="2247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M7" totalsRowShown="0" headerRowDxfId="16" headerRowBorderDxfId="15" tableBorderDxfId="14" totalsRowBorderDxfId="13">
  <autoFilter ref="A1:M7" xr:uid="{1A4495C6-64F1-4654-82C3-1417CFDBC1D1}"/>
  <sortState xmlns:xlrd2="http://schemas.microsoft.com/office/spreadsheetml/2017/richdata2" ref="A2:M5">
    <sortCondition ref="M1:M5"/>
  </sortState>
  <tableColumns count="13">
    <tableColumn id="11" xr3:uid="{3DECB62C-AAF2-4EC7-8598-5E8776D4B845}" name="hardware_utilization_strategy" dataDxfId="12" dataCellStyle="Note"/>
    <tableColumn id="9" xr3:uid="{047B8296-C28F-43DA-A753-CC6445B34CE4}" name="device" dataDxfId="11" dataCellStyle="Note"/>
    <tableColumn id="13" xr3:uid="{DDAD1D58-D33B-4623-BEC6-D0CFBCAAF383}" name="TRITON_SWMM_make_command" dataDxfId="0" dataCellStyle="Input"/>
    <tableColumn id="8" xr3:uid="{5BB507EE-7025-4DDF-A0F3-C7717F14E194}" name="run_mode" dataDxfId="10" dataCellStyle="Input"/>
    <tableColumn id="2" xr3:uid="{09DC1F4B-B2B0-493A-B83E-1D7D4EA31F4C}" name="n_nodes" dataDxfId="9" dataCellStyle="Input"/>
    <tableColumn id="3" xr3:uid="{3A65E5E5-CB8B-4698-A27C-21DF3A95D49A}" name="n_mpi_procs" dataDxfId="8" dataCellStyle="Input"/>
    <tableColumn id="4" xr3:uid="{D366E835-7967-45B3-94DD-92B04C3126AA}" name="n_omp_threads" dataDxfId="7" dataCellStyle="Input"/>
    <tableColumn id="12" xr3:uid="{037A1F48-3B4F-4ED2-9C19-A48E0403F1E9}" name="n_gpus" dataDxfId="6" dataCellStyle="Input"/>
    <tableColumn id="5" xr3:uid="{4E090350-4FC8-498D-A3DF-C96FED73C7DB}" name="total_MPI_ranks" dataDxfId="5" dataCellStyle="Output"/>
    <tableColumn id="6" xr3:uid="{F6B7A6B4-BD4B-4406-BCB7-C3DBCC48FA6B}" name="total_OpenMP_threads" dataDxfId="4" dataCellStyle="Output"/>
    <tableColumn id="7" xr3:uid="{8B064801-C992-4C19-AF9B-73CC7D0951B1}" name="total_devices" dataDxfId="3" dataCellStyle="Output"/>
    <tableColumn id="10" xr3:uid="{C813D3D6-6AEA-4168-A5C0-6FD56BB1D36D}" name="devices_per_node" dataDxfId="2" dataCellStyle="Output">
      <calculatedColumnFormula>Table1[[#This Row],[total_devices]]/Table1[[#This Row],[n_nodes]]</calculatedColumnFormula>
    </tableColumn>
    <tableColumn id="1" xr3:uid="{819E4573-DBC8-4D9F-8E0A-AED8703E6A04}" name="selected" dataDxfId="1" dataCellStyle="Outpu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D8" sqref="D8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31.28515625" bestFit="1" customWidth="1"/>
    <col min="4" max="4" width="15.140625" customWidth="1"/>
    <col min="5" max="5" width="10.85546875" bestFit="1" customWidth="1"/>
    <col min="6" max="6" width="22.42578125" bestFit="1" customWidth="1"/>
    <col min="7" max="7" width="28.28515625" bestFit="1" customWidth="1"/>
    <col min="8" max="8" width="28.28515625" customWidth="1"/>
    <col min="9" max="9" width="18.140625" bestFit="1" customWidth="1"/>
    <col min="10" max="10" width="24.7109375" bestFit="1" customWidth="1"/>
    <col min="11" max="11" width="19" customWidth="1"/>
    <col min="12" max="12" width="19.85546875" bestFit="1" customWidth="1"/>
  </cols>
  <sheetData>
    <row r="1" spans="1:13" x14ac:dyDescent="0.25">
      <c r="A1" s="1" t="s">
        <v>6</v>
      </c>
      <c r="B1" s="2" t="s">
        <v>7</v>
      </c>
      <c r="C1" s="2" t="s">
        <v>21</v>
      </c>
      <c r="D1" s="2" t="s">
        <v>12</v>
      </c>
      <c r="E1" s="2" t="s">
        <v>17</v>
      </c>
      <c r="F1" s="2" t="s">
        <v>20</v>
      </c>
      <c r="G1" s="2" t="s">
        <v>18</v>
      </c>
      <c r="H1" s="2" t="s">
        <v>19</v>
      </c>
      <c r="I1" s="2" t="s">
        <v>8</v>
      </c>
      <c r="J1" s="2" t="s">
        <v>9</v>
      </c>
      <c r="K1" s="2" t="s">
        <v>10</v>
      </c>
      <c r="L1" s="3" t="s">
        <v>5</v>
      </c>
      <c r="M1" s="2" t="s">
        <v>11</v>
      </c>
    </row>
    <row r="2" spans="1:13" x14ac:dyDescent="0.25">
      <c r="A2" s="4" t="s">
        <v>3</v>
      </c>
      <c r="B2" s="5" t="s">
        <v>0</v>
      </c>
      <c r="C2" s="6" t="s">
        <v>22</v>
      </c>
      <c r="D2" s="6" t="s">
        <v>16</v>
      </c>
      <c r="E2" s="6">
        <v>1</v>
      </c>
      <c r="F2" s="6">
        <v>2</v>
      </c>
      <c r="G2" s="6">
        <v>1</v>
      </c>
      <c r="H2" s="6">
        <v>0</v>
      </c>
      <c r="I2" s="7">
        <f>Table1[[#This Row],[n_mpi_procs]]*Table1[[#This Row],[n_nodes]]</f>
        <v>2</v>
      </c>
      <c r="J2" s="7">
        <f>Table1[[#This Row],[total_MPI_ranks]]*Table1[[#This Row],[n_omp_threads]]</f>
        <v>2</v>
      </c>
      <c r="K2" s="7">
        <f>Table1[[#This Row],[n_omp_threads]]*Table1[[#This Row],[n_mpi_procs]]*Table1[[#This Row],[n_nodes]]</f>
        <v>2</v>
      </c>
      <c r="L2" s="9">
        <f>Table1[[#This Row],[total_devices]]/Table1[[#This Row],[n_nodes]]</f>
        <v>2</v>
      </c>
      <c r="M2" s="10" t="b">
        <v>1</v>
      </c>
    </row>
    <row r="3" spans="1:13" x14ac:dyDescent="0.25">
      <c r="A3" s="4" t="s">
        <v>2</v>
      </c>
      <c r="B3" s="5" t="s">
        <v>0</v>
      </c>
      <c r="C3" s="6" t="s">
        <v>22</v>
      </c>
      <c r="D3" s="6" t="s">
        <v>15</v>
      </c>
      <c r="E3" s="6">
        <v>1</v>
      </c>
      <c r="F3" s="6">
        <v>1</v>
      </c>
      <c r="G3" s="6">
        <v>2</v>
      </c>
      <c r="H3" s="6">
        <v>0</v>
      </c>
      <c r="I3" s="7">
        <f>Table1[[#This Row],[n_mpi_procs]]*Table1[[#This Row],[n_nodes]]</f>
        <v>1</v>
      </c>
      <c r="J3" s="7">
        <f>Table1[[#This Row],[total_MPI_ranks]]*Table1[[#This Row],[n_omp_threads]]</f>
        <v>2</v>
      </c>
      <c r="K3" s="7">
        <f>Table1[[#This Row],[n_omp_threads]]*Table1[[#This Row],[n_mpi_procs]]*Table1[[#This Row],[n_nodes]]</f>
        <v>2</v>
      </c>
      <c r="L3" s="9">
        <f>Table1[[#This Row],[total_devices]]/Table1[[#This Row],[n_nodes]]</f>
        <v>2</v>
      </c>
      <c r="M3" s="7" t="b">
        <v>1</v>
      </c>
    </row>
    <row r="4" spans="1:13" x14ac:dyDescent="0.25">
      <c r="A4" s="4" t="s">
        <v>4</v>
      </c>
      <c r="B4" s="5" t="s">
        <v>0</v>
      </c>
      <c r="C4" s="6" t="s">
        <v>22</v>
      </c>
      <c r="D4" s="6" t="s">
        <v>14</v>
      </c>
      <c r="E4" s="6">
        <v>1</v>
      </c>
      <c r="F4" s="6">
        <v>2</v>
      </c>
      <c r="G4" s="6">
        <v>2</v>
      </c>
      <c r="H4" s="6">
        <v>0</v>
      </c>
      <c r="I4" s="7">
        <f>Table1[[#This Row],[n_mpi_procs]]*Table1[[#This Row],[n_nodes]]</f>
        <v>2</v>
      </c>
      <c r="J4" s="7">
        <f>Table1[[#This Row],[total_MPI_ranks]]*Table1[[#This Row],[n_omp_threads]]</f>
        <v>4</v>
      </c>
      <c r="K4" s="7">
        <f>Table1[[#This Row],[n_omp_threads]]*Table1[[#This Row],[n_mpi_procs]]*Table1[[#This Row],[n_nodes]]</f>
        <v>4</v>
      </c>
      <c r="L4" s="8">
        <f>Table1[[#This Row],[total_devices]]/Table1[[#This Row],[n_nodes]]</f>
        <v>4</v>
      </c>
      <c r="M4" s="7" t="b">
        <v>1</v>
      </c>
    </row>
    <row r="5" spans="1:13" x14ac:dyDescent="0.25">
      <c r="A5" s="4" t="s">
        <v>1</v>
      </c>
      <c r="B5" s="5" t="s">
        <v>0</v>
      </c>
      <c r="C5" s="6" t="s">
        <v>22</v>
      </c>
      <c r="D5" s="6" t="s">
        <v>13</v>
      </c>
      <c r="E5" s="6">
        <v>1</v>
      </c>
      <c r="F5" s="6">
        <v>1</v>
      </c>
      <c r="G5" s="6">
        <v>1</v>
      </c>
      <c r="H5" s="6">
        <v>0</v>
      </c>
      <c r="I5" s="7">
        <f>Table1[[#This Row],[n_mpi_procs]]*Table1[[#This Row],[n_nodes]]</f>
        <v>1</v>
      </c>
      <c r="J5" s="7">
        <f>Table1[[#This Row],[total_MPI_ranks]]*Table1[[#This Row],[n_omp_threads]]</f>
        <v>1</v>
      </c>
      <c r="K5" s="7">
        <f>Table1[[#This Row],[n_omp_threads]]*Table1[[#This Row],[n_mpi_procs]]*Table1[[#This Row],[n_nodes]]</f>
        <v>1</v>
      </c>
      <c r="L5" s="8">
        <f>Table1[[#This Row],[total_devices]]/Table1[[#This Row],[n_nodes]]</f>
        <v>1</v>
      </c>
      <c r="M5" s="7" t="b">
        <v>1</v>
      </c>
    </row>
    <row r="6" spans="1:13" x14ac:dyDescent="0.25">
      <c r="A6" s="11" t="s">
        <v>25</v>
      </c>
      <c r="B6" s="12" t="s">
        <v>24</v>
      </c>
      <c r="C6" s="6" t="s">
        <v>23</v>
      </c>
      <c r="D6" s="15" t="s">
        <v>27</v>
      </c>
      <c r="E6" s="15">
        <v>1</v>
      </c>
      <c r="F6" s="15">
        <v>1</v>
      </c>
      <c r="G6" s="15">
        <v>1</v>
      </c>
      <c r="H6" s="13">
        <v>1</v>
      </c>
      <c r="I6" s="16">
        <f>Table1[[#This Row],[n_mpi_procs]]*Table1[[#This Row],[n_nodes]]</f>
        <v>1</v>
      </c>
      <c r="J6" s="16">
        <f>Table1[[#This Row],[total_MPI_ranks]]*Table1[[#This Row],[n_omp_threads]]</f>
        <v>1</v>
      </c>
      <c r="K6" s="16">
        <f>Table1[[#This Row],[n_omp_threads]]*Table1[[#This Row],[n_mpi_procs]]*Table1[[#This Row],[n_nodes]]</f>
        <v>1</v>
      </c>
      <c r="L6" s="17">
        <f>Table1[[#This Row],[total_devices]]/Table1[[#This Row],[n_nodes]]</f>
        <v>1</v>
      </c>
      <c r="M6" s="16" t="b">
        <v>1</v>
      </c>
    </row>
    <row r="7" spans="1:13" x14ac:dyDescent="0.25">
      <c r="A7" s="14" t="s">
        <v>26</v>
      </c>
      <c r="B7" s="12" t="s">
        <v>24</v>
      </c>
      <c r="C7" s="15" t="s">
        <v>23</v>
      </c>
      <c r="D7" s="15" t="s">
        <v>27</v>
      </c>
      <c r="E7" s="15">
        <v>1</v>
      </c>
      <c r="F7" s="15">
        <v>2</v>
      </c>
      <c r="G7" s="15">
        <v>1</v>
      </c>
      <c r="H7" s="15">
        <v>2</v>
      </c>
      <c r="I7" s="16">
        <f>Table1[[#This Row],[n_mpi_procs]]*Table1[[#This Row],[n_nodes]]</f>
        <v>2</v>
      </c>
      <c r="J7" s="16">
        <f>Table1[[#This Row],[total_MPI_ranks]]*Table1[[#This Row],[n_omp_threads]]</f>
        <v>2</v>
      </c>
      <c r="K7" s="16">
        <f>Table1[[#This Row],[n_omp_threads]]*Table1[[#This Row],[n_mpi_procs]]*Table1[[#This Row],[n_nodes]]</f>
        <v>2</v>
      </c>
      <c r="L7" s="17">
        <f>Table1[[#This Row],[total_devices]]/Table1[[#This Row],[n_nodes]]</f>
        <v>2</v>
      </c>
      <c r="M7" s="16" t="b"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2026-01-15T20:45:24Z</dcterms:modified>
</cp:coreProperties>
</file>