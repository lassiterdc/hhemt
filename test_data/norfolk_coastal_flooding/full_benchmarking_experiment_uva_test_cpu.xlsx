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C28E7D7B-D4CB-4E56-8FE6-3DCC53E227A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H10" i="1"/>
  <c r="H8" i="1"/>
  <c r="I8" i="1"/>
  <c r="J8" i="1" s="1"/>
  <c r="K8" i="1"/>
  <c r="H21" i="1"/>
  <c r="I21" i="1"/>
  <c r="J21" i="1" s="1"/>
  <c r="K21" i="1"/>
  <c r="H17" i="1"/>
  <c r="I17" i="1"/>
  <c r="J17" i="1"/>
  <c r="K17" i="1"/>
  <c r="H5" i="1"/>
  <c r="I5" i="1"/>
  <c r="J5" i="1"/>
  <c r="K5" i="1"/>
  <c r="H6" i="1"/>
  <c r="I6" i="1"/>
  <c r="J6" i="1" s="1"/>
  <c r="K6" i="1"/>
  <c r="H14" i="1"/>
  <c r="I14" i="1"/>
  <c r="J14" i="1" s="1"/>
  <c r="K14" i="1"/>
  <c r="H13" i="1"/>
  <c r="I13" i="1"/>
  <c r="J13" i="1" s="1"/>
  <c r="K13" i="1"/>
  <c r="I9" i="1"/>
  <c r="J9" i="1" s="1"/>
  <c r="K9" i="1"/>
  <c r="H3" i="1"/>
  <c r="I3" i="1"/>
  <c r="J3" i="1" s="1"/>
  <c r="K3" i="1"/>
  <c r="H4" i="1"/>
  <c r="I4" i="1"/>
  <c r="J4" i="1" s="1"/>
  <c r="K4" i="1"/>
  <c r="H15" i="1"/>
  <c r="I15" i="1"/>
  <c r="J15" i="1" s="1"/>
  <c r="K15" i="1"/>
  <c r="I10" i="1"/>
  <c r="J10" i="1" s="1"/>
  <c r="K10" i="1"/>
  <c r="H18" i="1"/>
  <c r="I18" i="1"/>
  <c r="J18" i="1"/>
  <c r="K18" i="1"/>
  <c r="H7" i="1"/>
  <c r="I7" i="1"/>
  <c r="J7" i="1" s="1"/>
  <c r="K7" i="1"/>
  <c r="H2" i="1"/>
  <c r="I2" i="1"/>
  <c r="J2" i="1" s="1"/>
  <c r="K2" i="1"/>
  <c r="H11" i="1"/>
  <c r="I11" i="1"/>
  <c r="J11" i="1" s="1"/>
  <c r="K11" i="1"/>
  <c r="H12" i="1"/>
  <c r="I12" i="1"/>
  <c r="J12" i="1" s="1"/>
  <c r="K12" i="1"/>
  <c r="K19" i="1"/>
  <c r="K20" i="1"/>
  <c r="I20" i="1"/>
  <c r="J20" i="1" s="1"/>
  <c r="H20" i="1"/>
  <c r="I19" i="1"/>
  <c r="J19" i="1" s="1"/>
  <c r="H19" i="1"/>
  <c r="K16" i="1"/>
  <c r="I16" i="1"/>
  <c r="J16" i="1" s="1"/>
  <c r="H16" i="1"/>
</calcChain>
</file>

<file path=xl/sharedStrings.xml><?xml version="1.0" encoding="utf-8"?>
<sst xmlns="http://schemas.openxmlformats.org/spreadsheetml/2006/main" count="51" uniqueCount="17">
  <si>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</si>
  <si>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</si>
  <si>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</si>
  <si>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</si>
  <si>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</si>
  <si>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</si>
  <si>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</si>
  <si>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</si>
  <si>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</si>
  <si>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hybrid</t>
  </si>
  <si>
    <t>standard</t>
  </si>
  <si>
    <t>parallel</t>
  </si>
  <si>
    <t>mem_gb_per_cpu</t>
  </si>
  <si>
    <t>Use</t>
  </si>
  <si>
    <t>mpi</t>
  </si>
  <si>
    <t>serial</t>
  </si>
  <si>
    <t>openmp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</si>
</sst>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0" fontId="3" fillId="2" borderId="3" xfId="0" applyFont="1" applyFill="1" applyBorder="1" applyAlignment="1">
      <alignment horizontal="right"/>
    </xf>
    <xf numFmtId="3" fontId="3" fillId="2" borderId="3" xfId="0" applyNumberFormat="1" applyFont="1" applyFill="1" applyBorder="1" applyAlignment="1">
      <alignment horizontal="right"/>
    </xf>
    <xf numFmtId="0" fontId="3" fillId="2" borderId="3" xfId="0" applyFont="1" applyFill="1" applyBorder="1" applyAlignment="1">
      <alignment horizontal="left"/>
    </xf>
    <xf numFmtId="3" fontId="4" fillId="3" borderId="3" xfId="0" applyNumberFormat="1" applyFont="1" applyFill="1" applyBorder="1" applyAlignment="1">
      <alignment horizontal="right"/>
    </xf>
    <xf numFmtId="3" fontId="4" fillId="3" borderId="4" xfId="0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3" fillId="4" borderId="3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21" totalsRowShown="0">
  <autoFilter ref="A1:K21" xr:uid="{00000000-0009-0000-0100-000001000000}"/>
  <sortState xmlns:xlrd2="http://schemas.microsoft.com/office/spreadsheetml/2017/richdata2" ref="A2:K21">
    <sortCondition ref="I1:I23"/>
  </sortState>
  <tableColumns count="11"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23"/>
  <sheetViews>
    <sheetView tabSelected="1" workbookViewId="0">
      <selection activeCell="J15" sqref="J15"/>
    </sheetView>
  </sheetViews>
  <sheetFormatPr defaultRowHeight="15" x14ac:dyDescent="0.25"/>
  <cols>
    <col min="1" max="1" width="9.28515625" style="11" bestFit="1" customWidth="1"/>
    <col min="2" max="2" width="19" style="12" bestFit="1" customWidth="1"/>
    <col min="3" max="3" width="22.42578125" style="12" bestFit="1" customWidth="1"/>
    <col min="4" max="5" width="28.28515625" style="12" bestFit="1" customWidth="1"/>
    <col min="6" max="6" width="28.28515625" bestFit="1" customWidth="1"/>
    <col min="7" max="7" width="28.28515625" customWidth="1"/>
    <col min="8" max="8" width="24.7109375" style="12" bestFit="1" customWidth="1"/>
    <col min="9" max="9" width="19" style="12" bestFit="1" customWidth="1"/>
    <col min="10" max="10" width="19.85546875" style="12" bestFit="1" customWidth="1"/>
    <col min="11" max="11" width="13.5703125" bestFit="1" customWidth="1"/>
  </cols>
  <sheetData>
    <row r="1" spans="1:11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12</v>
      </c>
      <c r="H1" s="4" t="s">
        <v>6</v>
      </c>
      <c r="I1" s="4" t="s">
        <v>7</v>
      </c>
      <c r="J1" s="5" t="s">
        <v>8</v>
      </c>
      <c r="K1" s="1" t="s">
        <v>13</v>
      </c>
    </row>
    <row r="2" spans="1:11" ht="18.75" customHeight="1" x14ac:dyDescent="0.25">
      <c r="A2" s="6" t="s">
        <v>15</v>
      </c>
      <c r="B2" s="7">
        <v>1</v>
      </c>
      <c r="C2" s="7">
        <v>1</v>
      </c>
      <c r="D2" s="7">
        <v>1</v>
      </c>
      <c r="E2" s="7">
        <v>0</v>
      </c>
      <c r="F2" s="8" t="s">
        <v>10</v>
      </c>
      <c r="G2" s="8">
        <v>2</v>
      </c>
      <c r="H2" s="9">
        <f>Table1[[#This Row], [n_mpi_procs]]*Table1[[#This Row], [n_omp_threads]]</f>
        <v>1</v>
      </c>
      <c r="I2" s="9">
        <f>Table1[[#This Row], [n_omp_threads]]*Table1[[#This Row], [n_mpi_procs]]</f>
        <v>1</v>
      </c>
      <c r="J2" s="10">
        <f>Table1[[#This Row], [total_devices]]/Table1[[#This Row], [n_nodes]]</f>
        <v>1</v>
      </c>
      <c r="K2" t="b">
        <f>Table1[[#This Row], [n_mpi_procs]]&gt;=Table1[[#This Row], [n_nodes]]</f>
        <v>1</v>
      </c>
    </row>
    <row r="3" spans="1:11" ht="18.75" customHeight="1" x14ac:dyDescent="0.25">
      <c r="A3" s="6" t="s">
        <v>16</v>
      </c>
      <c r="B3" s="7">
        <v>1</v>
      </c>
      <c r="C3" s="7">
        <v>1</v>
      </c>
      <c r="D3" s="7">
        <v>2</v>
      </c>
      <c r="E3" s="7">
        <v>0</v>
      </c>
      <c r="F3" s="8" t="s">
        <v>10</v>
      </c>
      <c r="G3" s="8">
        <v>2</v>
      </c>
      <c r="H3" s="9">
        <f>Table1[[#This Row], [n_mpi_procs]]*Table1[[#This Row], [n_omp_threads]]</f>
        <v>2</v>
      </c>
      <c r="I3" s="9">
        <f>Table1[[#This Row], [n_omp_threads]]*Table1[[#This Row], [n_mpi_procs]]</f>
        <v>2</v>
      </c>
      <c r="J3" s="10">
        <f>Table1[[#This Row], [total_devices]]/Table1[[#This Row], [n_nodes]]</f>
        <v>2</v>
      </c>
      <c r="K3" t="b">
        <f>Table1[[#This Row], [n_mpi_procs]]&gt;=Table1[[#This Row], [n_nodes]]</f>
        <v>1</v>
      </c>
    </row>
    <row r="4" spans="1:11" ht="18.75" customHeight="1" x14ac:dyDescent="0.25">
      <c r="A4" s="6" t="s">
        <v>14</v>
      </c>
      <c r="B4" s="7">
        <v>1</v>
      </c>
      <c r="C4" s="7">
        <v>2</v>
      </c>
      <c r="D4" s="7">
        <v>1</v>
      </c>
      <c r="E4" s="7">
        <v>0</v>
      </c>
      <c r="F4" s="8" t="s">
        <v>10</v>
      </c>
      <c r="G4" s="8">
        <v>2</v>
      </c>
      <c r="H4" s="9">
        <f>Table1[[#This Row], [n_mpi_procs]]*Table1[[#This Row], [n_omp_threads]]</f>
        <v>2</v>
      </c>
      <c r="I4" s="9">
        <f>Table1[[#This Row], [n_omp_threads]]*Table1[[#This Row], [n_mpi_procs]]</f>
        <v>2</v>
      </c>
      <c r="J4" s="10">
        <f>Table1[[#This Row], [total_devices]]/Table1[[#This Row], [n_nodes]]</f>
        <v>2</v>
      </c>
      <c r="K4" t="b">
        <f>Table1[[#This Row], [n_mpi_procs]]&gt;=Table1[[#This Row], [n_nodes]]</f>
        <v>1</v>
      </c>
    </row>
    <row r="5" spans="1:11" ht="18.75" customHeight="1" x14ac:dyDescent="0.25">
      <c r="A5" s="6" t="s">
        <v>16</v>
      </c>
      <c r="B5" s="7">
        <v>1</v>
      </c>
      <c r="C5" s="7">
        <v>1</v>
      </c>
      <c r="D5" s="7">
        <v>4</v>
      </c>
      <c r="E5" s="7">
        <v>0</v>
      </c>
      <c r="F5" s="8" t="s">
        <v>10</v>
      </c>
      <c r="G5" s="8">
        <v>2</v>
      </c>
      <c r="H5" s="9">
        <f>Table1[[#This Row], [n_mpi_procs]]*Table1[[#This Row], [n_omp_threads]]</f>
        <v>4</v>
      </c>
      <c r="I5" s="9">
        <f>Table1[[#This Row], [n_omp_threads]]*Table1[[#This Row], [n_mpi_procs]]</f>
        <v>4</v>
      </c>
      <c r="J5" s="10">
        <f>Table1[[#This Row], [total_devices]]/Table1[[#This Row], [n_nodes]]</f>
        <v>4</v>
      </c>
      <c r="K5" t="b">
        <f>Table1[[#This Row], [n_mpi_procs]]&gt;=Table1[[#This Row], [n_nodes]]</f>
        <v>1</v>
      </c>
    </row>
    <row r="6" spans="1:11" x14ac:dyDescent="0.25">
      <c r="A6" s="6" t="s">
        <v>14</v>
      </c>
      <c r="B6" s="7">
        <v>1</v>
      </c>
      <c r="C6" s="7">
        <v>4</v>
      </c>
      <c r="D6" s="7">
        <v>1</v>
      </c>
      <c r="E6" s="7">
        <v>0</v>
      </c>
      <c r="F6" s="8" t="s">
        <v>10</v>
      </c>
      <c r="G6" s="8">
        <v>2</v>
      </c>
      <c r="H6" s="9">
        <f>Table1[[#This Row], [n_mpi_procs]]*Table1[[#This Row], [n_omp_threads]]</f>
        <v>4</v>
      </c>
      <c r="I6" s="9">
        <f>Table1[[#This Row], [n_omp_threads]]*Table1[[#This Row], [n_mpi_procs]]</f>
        <v>4</v>
      </c>
      <c r="J6" s="10">
        <f>Table1[[#This Row], [total_devices]]/Table1[[#This Row], [n_nodes]]</f>
        <v>4</v>
      </c>
      <c r="K6" t="b">
        <f>Table1[[#This Row], [n_mpi_procs]]&gt;=Table1[[#This Row], [n_nodes]]</f>
        <v>1</v>
      </c>
    </row>
    <row r="7" spans="1:11" x14ac:dyDescent="0.25">
      <c r="A7" s="6" t="s">
        <v>9</v>
      </c>
      <c r="B7" s="7">
        <v>1</v>
      </c>
      <c r="C7" s="7">
        <v>2</v>
      </c>
      <c r="D7" s="7">
        <v>2</v>
      </c>
      <c r="E7" s="7">
        <v>0</v>
      </c>
      <c r="F7" s="8" t="s">
        <v>10</v>
      </c>
      <c r="G7" s="8">
        <v>2</v>
      </c>
      <c r="H7" s="9">
        <f>Table1[[#This Row], [n_mpi_procs]]*Table1[[#This Row], [n_omp_threads]]</f>
        <v>4</v>
      </c>
      <c r="I7" s="9">
        <f>Table1[[#This Row], [n_omp_threads]]*Table1[[#This Row], [n_mpi_procs]]</f>
        <v>4</v>
      </c>
      <c r="J7" s="10">
        <f>Table1[[#This Row], [total_devices]]/Table1[[#This Row], [n_nodes]]</f>
        <v>4</v>
      </c>
      <c r="K7" t="b">
        <f>Table1[[#This Row], [n_mpi_procs]]&gt;=Table1[[#This Row], [n_nodes]]</f>
        <v>1</v>
      </c>
    </row>
    <row r="8" spans="1:11" x14ac:dyDescent="0.25">
      <c r="A8" s="6" t="s">
        <v>16</v>
      </c>
      <c r="B8" s="7">
        <v>1</v>
      </c>
      <c r="C8" s="7">
        <v>1</v>
      </c>
      <c r="D8" s="7">
        <v>8</v>
      </c>
      <c r="E8" s="7">
        <v>0</v>
      </c>
      <c r="F8" s="8" t="s">
        <v>10</v>
      </c>
      <c r="G8" s="8">
        <v>2</v>
      </c>
      <c r="H8" s="9">
        <f>Table1[[#This Row], [n_mpi_procs]]*Table1[[#This Row], [n_omp_threads]]</f>
        <v>8</v>
      </c>
      <c r="I8" s="9">
        <f>Table1[[#This Row], [n_omp_threads]]*Table1[[#This Row], [n_mpi_procs]]</f>
        <v>8</v>
      </c>
      <c r="J8" s="10">
        <f>Table1[[#This Row], [total_devices]]/Table1[[#This Row], [n_nodes]]</f>
        <v>8</v>
      </c>
      <c r="K8" t="b">
        <f>Table1[[#This Row], [n_mpi_procs]]&gt;=Table1[[#This Row], [n_nodes]]</f>
        <v>1</v>
      </c>
    </row>
    <row r="9" spans="1:11" x14ac:dyDescent="0.25">
      <c r="A9" s="6" t="s">
        <v>14</v>
      </c>
      <c r="B9" s="7">
        <v>1</v>
      </c>
      <c r="C9" s="7">
        <v>8</v>
      </c>
      <c r="D9" s="7">
        <v>1</v>
      </c>
      <c r="E9" s="7">
        <v>0</v>
      </c>
      <c r="F9" s="8" t="s">
        <v>10</v>
      </c>
      <c r="G9" s="8">
        <v>2</v>
      </c>
      <c r="H9" s="9">
        <f>Table1[[#This Row], [n_mpi_procs]]*Table1[[#This Row], [n_omp_threads]]</f>
        <v>8</v>
      </c>
      <c r="I9" s="9">
        <f>Table1[[#This Row], [n_omp_threads]]*Table1[[#This Row], [n_mpi_procs]]</f>
        <v>8</v>
      </c>
      <c r="J9" s="10">
        <f>Table1[[#This Row], [total_devices]]/Table1[[#This Row], [n_nodes]]</f>
        <v>8</v>
      </c>
      <c r="K9" t="b">
        <f>Table1[[#This Row], [n_mpi_procs]]&gt;=Table1[[#This Row], [n_nodes]]</f>
        <v>1</v>
      </c>
    </row>
    <row r="10" spans="1:11" x14ac:dyDescent="0.25">
      <c r="A10" s="6" t="s">
        <v>9</v>
      </c>
      <c r="B10" s="7">
        <v>1</v>
      </c>
      <c r="C10" s="7">
        <v>2</v>
      </c>
      <c r="D10" s="7">
        <v>4</v>
      </c>
      <c r="E10" s="7">
        <v>0</v>
      </c>
      <c r="F10" s="8" t="s">
        <v>10</v>
      </c>
      <c r="G10" s="8">
        <v>2</v>
      </c>
      <c r="H10" s="9">
        <f>Table1[[#This Row], [n_mpi_procs]]*Table1[[#This Row], [n_omp_threads]]</f>
        <v>8</v>
      </c>
      <c r="I10" s="9">
        <f>Table1[[#This Row], [n_omp_threads]]*Table1[[#This Row], [n_mpi_procs]]</f>
        <v>8</v>
      </c>
      <c r="J10" s="10">
        <f>Table1[[#This Row], [total_devices]]/Table1[[#This Row], [n_nodes]]</f>
        <v>8</v>
      </c>
      <c r="K10" t="b">
        <f>Table1[[#This Row], [n_mpi_procs]]&gt;=Table1[[#This Row], [n_nodes]]</f>
        <v>1</v>
      </c>
    </row>
    <row r="11" spans="1:11" x14ac:dyDescent="0.25">
      <c r="A11" s="6" t="s">
        <v>14</v>
      </c>
      <c r="B11" s="7">
        <v>1</v>
      </c>
      <c r="C11" s="7">
        <v>16</v>
      </c>
      <c r="D11" s="7">
        <v>1</v>
      </c>
      <c r="E11" s="7">
        <v>0</v>
      </c>
      <c r="F11" s="8" t="s">
        <v>10</v>
      </c>
      <c r="G11" s="8">
        <v>2</v>
      </c>
      <c r="H11" s="9">
        <f>Table1[[#This Row], [n_mpi_procs]]*Table1[[#This Row], [n_omp_threads]]</f>
        <v>16</v>
      </c>
      <c r="I11" s="9">
        <f>Table1[[#This Row], [n_omp_threads]]*Table1[[#This Row], [n_mpi_procs]]</f>
        <v>16</v>
      </c>
      <c r="J11" s="10">
        <f>Table1[[#This Row], [total_devices]]/Table1[[#This Row], [n_nodes]]</f>
        <v>16</v>
      </c>
      <c r="K11" t="b">
        <f>Table1[[#This Row], [n_mpi_procs]]&gt;=Table1[[#This Row], [n_nodes]]</f>
        <v>1</v>
      </c>
    </row>
    <row r="12" spans="1:11" x14ac:dyDescent="0.25">
      <c r="A12" s="6" t="s">
        <v>9</v>
      </c>
      <c r="B12" s="7">
        <v>1</v>
      </c>
      <c r="C12" s="7">
        <v>2</v>
      </c>
      <c r="D12" s="7">
        <v>8</v>
      </c>
      <c r="E12" s="7">
        <v>0</v>
      </c>
      <c r="F12" s="8" t="s">
        <v>10</v>
      </c>
      <c r="G12" s="13">
        <v>2</v>
      </c>
      <c r="H12" s="9">
        <f>Table1[[#This Row], [n_mpi_procs]]*Table1[[#This Row], [n_omp_threads]]</f>
        <v>16</v>
      </c>
      <c r="I12" s="9">
        <f>Table1[[#This Row], [n_omp_threads]]*Table1[[#This Row], [n_mpi_procs]]</f>
        <v>16</v>
      </c>
      <c r="J12" s="10">
        <f>Table1[[#This Row], [total_devices]]/Table1[[#This Row], [n_nodes]]</f>
        <v>16</v>
      </c>
      <c r="K12" t="b">
        <f>Table1[[#This Row], [n_mpi_procs]]&gt;=Table1[[#This Row], [n_nodes]]</f>
        <v>1</v>
      </c>
    </row>
    <row r="13" spans="1:11" x14ac:dyDescent="0.25">
      <c r="A13" s="6" t="s">
        <v>16</v>
      </c>
      <c r="B13" s="7">
        <v>1</v>
      </c>
      <c r="C13" s="7">
        <v>1</v>
      </c>
      <c r="D13" s="7">
        <v>16</v>
      </c>
      <c r="E13" s="7">
        <v>0</v>
      </c>
      <c r="F13" s="8" t="s">
        <v>10</v>
      </c>
      <c r="G13" s="8">
        <v>2</v>
      </c>
      <c r="H13" s="9">
        <f>Table1[[#This Row], [n_mpi_procs]]*Table1[[#This Row], [n_omp_threads]]</f>
        <v>16</v>
      </c>
      <c r="I13" s="9">
        <f>Table1[[#This Row], [n_omp_threads]]*Table1[[#This Row], [n_mpi_procs]]</f>
        <v>16</v>
      </c>
      <c r="J13" s="10">
        <f>Table1[[#This Row], [total_devices]]/Table1[[#This Row], [n_nodes]]</f>
        <v>16</v>
      </c>
      <c r="K13" t="b">
        <f>Table1[[#This Row], [n_mpi_procs]]&gt;=Table1[[#This Row], [n_nodes]]</f>
        <v>1</v>
      </c>
    </row>
    <row r="14" spans="1:11" x14ac:dyDescent="0.25">
      <c r="A14" s="6" t="s">
        <v>16</v>
      </c>
      <c r="B14" s="7">
        <v>1</v>
      </c>
      <c r="C14" s="7">
        <v>1</v>
      </c>
      <c r="D14" s="7">
        <v>32</v>
      </c>
      <c r="E14" s="7">
        <v>0</v>
      </c>
      <c r="F14" s="8" t="s">
        <v>10</v>
      </c>
      <c r="G14" s="8">
        <v>2</v>
      </c>
      <c r="H14" s="9">
        <f>Table1[[#This Row], [n_mpi_procs]]*Table1[[#This Row], [n_omp_threads]]</f>
        <v>32</v>
      </c>
      <c r="I14" s="9">
        <f>Table1[[#This Row], [n_omp_threads]]*Table1[[#This Row], [n_mpi_procs]]</f>
        <v>32</v>
      </c>
      <c r="J14" s="10">
        <f>Table1[[#This Row], [total_devices]]/Table1[[#This Row], [n_nodes]]</f>
        <v>32</v>
      </c>
      <c r="K14" t="b">
        <f>Table1[[#This Row], [n_mpi_procs]]&gt;=Table1[[#This Row], [n_nodes]]</f>
        <v>1</v>
      </c>
    </row>
    <row r="15" spans="1:11" x14ac:dyDescent="0.25">
      <c r="A15" s="6" t="s">
        <v>9</v>
      </c>
      <c r="B15" s="7">
        <v>1</v>
      </c>
      <c r="C15" s="7">
        <v>2</v>
      </c>
      <c r="D15" s="7">
        <v>16</v>
      </c>
      <c r="E15" s="7">
        <v>0</v>
      </c>
      <c r="F15" s="8" t="s">
        <v>10</v>
      </c>
      <c r="G15" s="8">
        <v>2</v>
      </c>
      <c r="H15" s="9">
        <f>Table1[[#This Row], [n_mpi_procs]]*Table1[[#This Row], [n_omp_threads]]</f>
        <v>32</v>
      </c>
      <c r="I15" s="9">
        <f>Table1[[#This Row], [n_omp_threads]]*Table1[[#This Row], [n_mpi_procs]]</f>
        <v>32</v>
      </c>
      <c r="J15" s="10">
        <f>Table1[[#This Row], [total_devices]]/Table1[[#This Row], [n_nodes]]</f>
        <v>32</v>
      </c>
      <c r="K15" t="b">
        <f>Table1[[#This Row], [n_mpi_procs]]&gt;=Table1[[#This Row], [n_nodes]]</f>
        <v>1</v>
      </c>
    </row>
    <row r="16" spans="1:11" x14ac:dyDescent="0.25">
      <c r="A16" s="6" t="s">
        <v>9</v>
      </c>
      <c r="B16" s="7">
        <v>1</v>
      </c>
      <c r="C16" s="7">
        <v>32</v>
      </c>
      <c r="D16" s="7">
        <v>2</v>
      </c>
      <c r="E16" s="7">
        <v>0</v>
      </c>
      <c r="F16" s="8" t="s">
        <v>10</v>
      </c>
      <c r="G16" s="8">
        <v>2</v>
      </c>
      <c r="H16" s="9">
        <f>Table1[[#This Row], [n_mpi_procs]]*Table1[[#This Row], [n_omp_threads]]</f>
        <v>64</v>
      </c>
      <c r="I16" s="9">
        <f>Table1[[#This Row], [n_omp_threads]]*Table1[[#This Row], [n_mpi_procs]]</f>
        <v>64</v>
      </c>
      <c r="J16" s="10">
        <f>Table1[[#This Row], [total_devices]]/Table1[[#This Row], [n_nodes]]</f>
        <v>64</v>
      </c>
      <c r="K16" t="b">
        <f>Table1[[#This Row], [n_mpi_procs]]&gt;=Table1[[#This Row], [n_nodes]]</f>
        <v>1</v>
      </c>
    </row>
    <row r="17" spans="1:11" x14ac:dyDescent="0.25">
      <c r="A17" s="6" t="s">
        <v>16</v>
      </c>
      <c r="B17" s="7">
        <v>1</v>
      </c>
      <c r="C17" s="7">
        <v>1</v>
      </c>
      <c r="D17" s="7">
        <v>64</v>
      </c>
      <c r="E17" s="7">
        <v>0</v>
      </c>
      <c r="F17" s="8" t="s">
        <v>10</v>
      </c>
      <c r="G17" s="8">
        <v>2</v>
      </c>
      <c r="H17" s="9">
        <f>Table1[[#This Row], [n_mpi_procs]]*Table1[[#This Row], [n_omp_threads]]</f>
        <v>64</v>
      </c>
      <c r="I17" s="9">
        <f>Table1[[#This Row], [n_omp_threads]]*Table1[[#This Row], [n_mpi_procs]]</f>
        <v>64</v>
      </c>
      <c r="J17" s="10">
        <f>Table1[[#This Row], [total_devices]]/Table1[[#This Row], [n_nodes]]</f>
        <v>64</v>
      </c>
      <c r="K17" t="b">
        <f>Table1[[#This Row], [n_mpi_procs]]&gt;=Table1[[#This Row], [n_nodes]]</f>
        <v>1</v>
      </c>
    </row>
    <row r="18" spans="1:11" x14ac:dyDescent="0.25">
      <c r="A18" s="6" t="s">
        <v>9</v>
      </c>
      <c r="B18" s="7">
        <v>1</v>
      </c>
      <c r="C18" s="7">
        <v>2</v>
      </c>
      <c r="D18" s="7">
        <v>32</v>
      </c>
      <c r="E18" s="7">
        <v>0</v>
      </c>
      <c r="F18" s="8" t="s">
        <v>10</v>
      </c>
      <c r="G18" s="8">
        <v>2</v>
      </c>
      <c r="H18" s="9">
        <f>Table1[[#This Row], [n_mpi_procs]]*Table1[[#This Row], [n_omp_threads]]</f>
        <v>64</v>
      </c>
      <c r="I18" s="9">
        <f>Table1[[#This Row], [n_omp_threads]]*Table1[[#This Row], [n_mpi_procs]]</f>
        <v>64</v>
      </c>
      <c r="J18" s="10">
        <f>Table1[[#This Row], [total_devices]]/Table1[[#This Row], [n_nodes]]</f>
        <v>64</v>
      </c>
      <c r="K18" t="b">
        <f>Table1[[#This Row], [n_mpi_procs]]&gt;=Table1[[#This Row], [n_nodes]]</f>
        <v>1</v>
      </c>
    </row>
    <row r="19" spans="1:11" x14ac:dyDescent="0.25">
      <c r="A19" s="6" t="s">
        <v>9</v>
      </c>
      <c r="B19" s="7">
        <v>2</v>
      </c>
      <c r="C19" s="7">
        <v>32</v>
      </c>
      <c r="D19" s="7">
        <v>4</v>
      </c>
      <c r="E19" s="7">
        <v>0</v>
      </c>
      <c r="F19" s="8" t="s">
        <v>11</v>
      </c>
      <c r="G19" s="8">
        <v>2</v>
      </c>
      <c r="H19" s="9">
        <f>Table1[[#This Row], [n_mpi_procs]]*Table1[[#This Row], [n_omp_threads]]</f>
        <v>128</v>
      </c>
      <c r="I19" s="9">
        <f>Table1[[#This Row], [n_omp_threads]]*Table1[[#This Row], [n_mpi_procs]]</f>
        <v>128</v>
      </c>
      <c r="J19" s="10">
        <f>Table1[[#This Row], [total_devices]]/Table1[[#This Row], [n_nodes]]</f>
        <v>64</v>
      </c>
      <c r="K19" t="b">
        <f>Table1[[#This Row], [n_mpi_procs]]&gt;=Table1[[#This Row], [n_nodes]]</f>
        <v>1</v>
      </c>
    </row>
    <row r="20" spans="1:11" x14ac:dyDescent="0.25">
      <c r="A20" s="6" t="s">
        <v>9</v>
      </c>
      <c r="B20" s="7">
        <v>2</v>
      </c>
      <c r="C20" s="7">
        <v>64</v>
      </c>
      <c r="D20" s="7">
        <v>2</v>
      </c>
      <c r="E20" s="7">
        <v>0</v>
      </c>
      <c r="F20" s="8" t="s">
        <v>11</v>
      </c>
      <c r="G20" s="8">
        <v>2</v>
      </c>
      <c r="H20" s="9">
        <f>Table1[[#This Row], [n_mpi_procs]]*Table1[[#This Row], [n_omp_threads]]</f>
        <v>128</v>
      </c>
      <c r="I20" s="9">
        <f>Table1[[#This Row], [n_omp_threads]]*Table1[[#This Row], [n_mpi_procs]]</f>
        <v>128</v>
      </c>
      <c r="J20" s="10">
        <f>Table1[[#This Row], [total_devices]]/Table1[[#This Row], [n_nodes]]</f>
        <v>64</v>
      </c>
      <c r="K20" t="b">
        <f>Table1[[#This Row], [n_mpi_procs]]&gt;=Table1[[#This Row], [n_nodes]]</f>
        <v>1</v>
      </c>
    </row>
    <row r="21" spans="1:11" x14ac:dyDescent="0.25">
      <c r="A21" s="6" t="s">
        <v>9</v>
      </c>
      <c r="B21" s="7">
        <v>1</v>
      </c>
      <c r="C21" s="7">
        <v>2</v>
      </c>
      <c r="D21" s="7">
        <v>64</v>
      </c>
      <c r="E21" s="7">
        <v>0</v>
      </c>
      <c r="F21" s="8" t="s">
        <v>10</v>
      </c>
      <c r="G21" s="8">
        <v>2</v>
      </c>
      <c r="H21" s="9">
        <f>Table1[[#This Row], [n_mpi_procs]]*Table1[[#This Row], [n_omp_threads]]</f>
        <v>128</v>
      </c>
      <c r="I21" s="9">
        <f>Table1[[#This Row], [n_omp_threads]]*Table1[[#This Row], [n_mpi_procs]]</f>
        <v>128</v>
      </c>
      <c r="J21" s="10">
        <f>Table1[[#This Row], [total_devices]]/Table1[[#This Row], [n_nodes]]</f>
        <v>128</v>
      </c>
      <c r="K21" t="b">
        <f>Table1[[#This Row], [n_mpi_procs]]&gt;=Table1[[#This Row], [n_nodes]]</f>
        <v>1</v>
      </c>
    </row>
    <row r="22" spans="1:11" x14ac:dyDescent="0.25">
      <c r="A22"/>
      <c r="B22"/>
      <c r="C22"/>
      <c r="D22"/>
      <c r="E22"/>
      <c r="H22"/>
      <c r="I22"/>
      <c r="J22"/>
    </row>
    <row r="23" spans="1:11" x14ac:dyDescent="0.25">
      <c r="A23"/>
      <c r="B23"/>
      <c r="C23"/>
      <c r="D23"/>
      <c r="E23"/>
      <c r="H23"/>
      <c r="I23"/>
      <c r="J2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2026-02-23T20:32:54Z</dcterms:modified>
</cp:coreProperties>
</file>