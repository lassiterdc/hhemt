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258149A3-96AD-41B6-B713-7B3378516BF8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J7" i="1"/>
  <c r="K7" i="1" s="1"/>
  <c r="I7" i="1"/>
  <c r="I6" i="1"/>
  <c r="J6" i="1"/>
  <c r="K6" i="1" s="1"/>
  <c r="L6" i="1"/>
  <c r="I2" i="1"/>
  <c r="J2" i="1"/>
  <c r="K2" i="1" s="1"/>
  <c r="L2" i="1"/>
  <c r="L4" i="1"/>
  <c r="L5" i="1"/>
  <c r="J5" i="1"/>
  <c r="K5" i="1" s="1"/>
  <c r="I5" i="1"/>
  <c r="J4" i="1"/>
  <c r="K4" i="1" s="1"/>
  <c r="I4" i="1"/>
  <c r="L3" i="1"/>
  <c r="J3" i="1"/>
  <c r="K3" i="1" s="1"/>
  <c r="I3" i="1"/>
</calcChain>
</file>

<file path=xl/sharedStrings.xml><?xml version="1.0" encoding="utf-8"?>
<sst xmlns="http://schemas.openxmlformats.org/spreadsheetml/2006/main" count="24" uniqueCount="16">
  <si>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</si>
  <si>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</si>
  <si>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</si>
  <si>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</si>
  <si>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</si>
  <si>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</si>
  <si>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</si>
  <si>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</si>
  <si>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</si>
  <si>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hybrid</t>
  </si>
  <si>
    <t>standard</t>
  </si>
  <si>
    <t>parallel</t>
  </si>
  <si>
    <t>mem_gb_per_cpu</t>
  </si>
  <si>
    <t>Use</t>
  </si>
  <si>
    <t>serial</t>
  </si>
  <si>
    <t>sa iloc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</si>
</sst>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3F3F76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4" fillId="3" borderId="1" xfId="0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 applyAlignment="1">
      <alignment horizontal="right"/>
    </xf>
    <xf numFmtId="0" fontId="3" fillId="2" borderId="1" xfId="0" applyFont="1" applyFill="1" applyBorder="1" applyAlignment="1">
      <alignment horizontal="left"/>
    </xf>
    <xf numFmtId="0" fontId="0" fillId="0" borderId="1" xfId="0" applyBorder="1"/>
    <xf numFmtId="0" fontId="6" fillId="2" borderId="1" xfId="0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0" fontId="6" fillId="2" borderId="1" xfId="0" applyFont="1" applyFill="1" applyBorder="1" applyAlignment="1">
      <alignment horizontal="left"/>
    </xf>
    <xf numFmtId="0" fontId="5" fillId="0" borderId="1" xfId="0" applyFont="1" applyBorder="1"/>
  </cellXfs>
  <cellStyles count="1">
    <cellStyle name="Normal" xfId="0" builtinId="0"/>
  </cellStyles>
  <dxfs count="12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Calibri"/>
        <family val="2"/>
        <scheme val="no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Calibri"/>
        <family val="2"/>
        <scheme val="no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Calibri"/>
        <family val="2"/>
        <scheme val="no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numFmt numFmtId="3" formatCode="#,##0"/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F3F3F"/>
        <name val="Calibri"/>
        <family val="2"/>
        <scheme val="none"/>
      </font>
      <numFmt numFmtId="3" formatCode="#,##0"/>
      <fill>
        <patternFill patternType="solid">
          <fgColor indexed="64"/>
          <bgColor rgb="FFF2F2F2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7" totalsRowShown="0">
  <autoFilter ref="A1:L7" xr:uid="{00000000-0009-0000-0100-000001000000}"/>
  <sortState xmlns:xlrd2="http://schemas.microsoft.com/office/spreadsheetml/2017/richdata2" ref="A2:L6">
    <sortCondition ref="J1:J8"/>
  </sortState>
  <tableColumns count="12">
    <tableColumn id="1" xr3:uid="{9CBDFCEF-1DD6-40D4-AF70-C4D20ADC5C38}" name="sa iloc" dataDxfId="11"/>
    <tableColumn id="3" xr3:uid="{00000000-0010-0000-0000-000003000000}" name="run_mode" dataDxfId="10"/>
    <tableColumn id="4" xr3:uid="{00000000-0010-0000-0000-000004000000}" name="n_nodes" dataDxfId="9"/>
    <tableColumn id="5" xr3:uid="{00000000-0010-0000-0000-000005000000}" name="n_mpi_procs" dataDxfId="8"/>
    <tableColumn id="6" xr3:uid="{00000000-0010-0000-0000-000006000000}" name="n_omp_threads" dataDxfId="7"/>
    <tableColumn id="7" xr3:uid="{00000000-0010-0000-0000-000007000000}" name="n_gpus" dataDxfId="6"/>
    <tableColumn id="8" xr3:uid="{00000000-0010-0000-0000-000008000000}" name="hpc_ensemble_partition" dataDxfId="5"/>
    <tableColumn id="9" xr3:uid="{26339B98-C3B5-4C3B-9409-F4B744B2B94C}" name="mem_gb_per_cpu" dataDxfId="4"/>
    <tableColumn id="10" xr3:uid="{00000000-0010-0000-0000-00000A000000}" name="total_OpenMP_threads" dataDxfId="3"/>
    <tableColumn id="11" xr3:uid="{00000000-0010-0000-0000-00000B000000}" name="total_devices" dataDxfId="2"/>
    <tableColumn id="12" xr3:uid="{00000000-0010-0000-0000-00000C000000}" name="devices_per_node" dataDxfId="1"/>
    <tableColumn id="13" xr3:uid="{00000000-0010-0000-0000-00000D000000}" name="Use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8"/>
  <sheetViews>
    <sheetView tabSelected="1" workbookViewId="0">
      <selection activeCell="I6" sqref="I6"/>
    </sheetView>
  </sheetViews>
  <sheetFormatPr defaultRowHeight="15" x14ac:dyDescent="0.25"/>
  <cols>
    <col min="1" max="1" width="9.28515625" style="1" bestFit="1" customWidth="1"/>
    <col min="2" max="2" width="9.28515625" style="1" customWidth="1"/>
    <col min="3" max="3" width="19" style="2" bestFit="1" customWidth="1"/>
    <col min="4" max="4" width="22.42578125" style="2" bestFit="1" customWidth="1"/>
    <col min="5" max="6" width="28.28515625" style="2" bestFit="1" customWidth="1"/>
    <col min="7" max="7" width="28.28515625" bestFit="1" customWidth="1"/>
    <col min="8" max="8" width="28.28515625" customWidth="1"/>
    <col min="9" max="9" width="24.7109375" style="2" bestFit="1" customWidth="1"/>
    <col min="10" max="10" width="19" style="2" bestFit="1" customWidth="1"/>
    <col min="11" max="11" width="19.85546875" style="2" bestFit="1" customWidth="1"/>
    <col min="12" max="12" width="13.5703125" bestFit="1" customWidth="1"/>
  </cols>
  <sheetData>
    <row r="1" spans="1:12" ht="18.75" customHeight="1" x14ac:dyDescent="0.25">
      <c r="A1" s="3" t="s">
        <v>15</v>
      </c>
      <c r="B1" s="3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5" t="s">
        <v>12</v>
      </c>
      <c r="I1" s="6" t="s">
        <v>6</v>
      </c>
      <c r="J1" s="6" t="s">
        <v>7</v>
      </c>
      <c r="K1" s="7" t="s">
        <v>8</v>
      </c>
      <c r="L1" s="3" t="s">
        <v>13</v>
      </c>
    </row>
    <row r="2" spans="1:12" ht="18.75" customHeight="1" x14ac:dyDescent="0.25">
      <c r="A2" s="8">
        <v>0</v>
      </c>
      <c r="B2" s="9" t="s">
        <v>14</v>
      </c>
      <c r="C2" s="10">
        <v>1</v>
      </c>
      <c r="D2" s="10">
        <v>1</v>
      </c>
      <c r="E2" s="10">
        <v>1</v>
      </c>
      <c r="F2" s="10">
        <v>0</v>
      </c>
      <c r="G2" s="11" t="s">
        <v>10</v>
      </c>
      <c r="H2" s="11">
        <v>2</v>
      </c>
      <c r="I2" s="8">
        <f>Table1[[#This Row], [n_mpi_procs]]*Table1[[#This Row], [n_omp_threads]]</f>
        <v>1</v>
      </c>
      <c r="J2" s="8">
        <f>Table1[[#This Row], [n_omp_threads]]*Table1[[#This Row], [n_mpi_procs]]</f>
        <v>1</v>
      </c>
      <c r="K2" s="8">
        <f>Table1[[#This Row], [total_devices]]/Table1[[#This Row], [n_nodes]]</f>
        <v>1</v>
      </c>
      <c r="L2" s="12" t="b">
        <f>Table1[[#This Row], [n_mpi_procs]]&gt;=Table1[[#This Row], [n_nodes]]</f>
        <v>1</v>
      </c>
    </row>
    <row r="3" spans="1:12" x14ac:dyDescent="0.25">
      <c r="A3" s="8">
        <v>14</v>
      </c>
      <c r="B3" s="13" t="s">
        <v>9</v>
      </c>
      <c r="C3" s="14">
        <v>1</v>
      </c>
      <c r="D3" s="14">
        <v>32</v>
      </c>
      <c r="E3" s="14">
        <v>2</v>
      </c>
      <c r="F3" s="14">
        <v>0</v>
      </c>
      <c r="G3" s="15" t="s">
        <v>10</v>
      </c>
      <c r="H3" s="15">
        <v>2</v>
      </c>
      <c r="I3" s="8">
        <f>Table1[[#This Row], [n_mpi_procs]]*Table1[[#This Row], [n_omp_threads]]</f>
        <v>64</v>
      </c>
      <c r="J3" s="8">
        <f>Table1[[#This Row], [n_omp_threads]]*Table1[[#This Row], [n_mpi_procs]]</f>
        <v>64</v>
      </c>
      <c r="K3" s="8">
        <f>Table1[[#This Row], [total_devices]]/Table1[[#This Row], [n_nodes]]</f>
        <v>64</v>
      </c>
      <c r="L3" s="16" t="b">
        <f>Table1[[#This Row], [n_mpi_procs]]&gt;=Table1[[#This Row], [n_nodes]]</f>
        <v>1</v>
      </c>
    </row>
    <row r="4" spans="1:12" x14ac:dyDescent="0.25">
      <c r="A4" s="8">
        <v>17</v>
      </c>
      <c r="B4" s="9" t="s">
        <v>9</v>
      </c>
      <c r="C4" s="10">
        <v>2</v>
      </c>
      <c r="D4" s="10">
        <v>32</v>
      </c>
      <c r="E4" s="10">
        <v>4</v>
      </c>
      <c r="F4" s="10">
        <v>0</v>
      </c>
      <c r="G4" s="11" t="s">
        <v>11</v>
      </c>
      <c r="H4" s="11">
        <v>2</v>
      </c>
      <c r="I4" s="8">
        <f>Table1[[#This Row], [n_mpi_procs]]*Table1[[#This Row], [n_omp_threads]]</f>
        <v>128</v>
      </c>
      <c r="J4" s="8">
        <f>Table1[[#This Row], [n_omp_threads]]*Table1[[#This Row], [n_mpi_procs]]</f>
        <v>128</v>
      </c>
      <c r="K4" s="8">
        <f>Table1[[#This Row], [total_devices]]/Table1[[#This Row], [n_nodes]]</f>
        <v>64</v>
      </c>
      <c r="L4" s="12" t="b">
        <f>Table1[[#This Row], [n_mpi_procs]]&gt;=Table1[[#This Row], [n_nodes]]</f>
        <v>1</v>
      </c>
    </row>
    <row r="5" spans="1:12" x14ac:dyDescent="0.25">
      <c r="A5" s="8">
        <v>18</v>
      </c>
      <c r="B5" s="9" t="s">
        <v>9</v>
      </c>
      <c r="C5" s="10">
        <v>2</v>
      </c>
      <c r="D5" s="10">
        <v>64</v>
      </c>
      <c r="E5" s="10">
        <v>2</v>
      </c>
      <c r="F5" s="10">
        <v>0</v>
      </c>
      <c r="G5" s="11" t="s">
        <v>11</v>
      </c>
      <c r="H5" s="11">
        <v>2</v>
      </c>
      <c r="I5" s="8">
        <f>Table1[[#This Row], [n_mpi_procs]]*Table1[[#This Row], [n_omp_threads]]</f>
        <v>128</v>
      </c>
      <c r="J5" s="8">
        <f>Table1[[#This Row], [n_omp_threads]]*Table1[[#This Row], [n_mpi_procs]]</f>
        <v>128</v>
      </c>
      <c r="K5" s="8">
        <f>Table1[[#This Row], [total_devices]]/Table1[[#This Row], [n_nodes]]</f>
        <v>64</v>
      </c>
      <c r="L5" s="12" t="b">
        <f>Table1[[#This Row], [n_mpi_procs]]&gt;=Table1[[#This Row], [n_nodes]]</f>
        <v>1</v>
      </c>
    </row>
    <row r="6" spans="1:12" x14ac:dyDescent="0.25">
      <c r="A6" s="8">
        <v>19</v>
      </c>
      <c r="B6" s="9" t="s">
        <v>9</v>
      </c>
      <c r="C6" s="10">
        <v>2</v>
      </c>
      <c r="D6" s="10">
        <v>2</v>
      </c>
      <c r="E6" s="10">
        <v>64</v>
      </c>
      <c r="F6" s="10">
        <v>0</v>
      </c>
      <c r="G6" s="11" t="s">
        <v>11</v>
      </c>
      <c r="H6" s="11">
        <v>2</v>
      </c>
      <c r="I6" s="8">
        <f>Table1[[#This Row], [n_mpi_procs]]*Table1[[#This Row], [n_omp_threads]]</f>
        <v>128</v>
      </c>
      <c r="J6" s="8">
        <f>Table1[[#This Row], [n_omp_threads]]*Table1[[#This Row], [n_mpi_procs]]</f>
        <v>128</v>
      </c>
      <c r="K6" s="8">
        <f>Table1[[#This Row], [total_devices]]/Table1[[#This Row], [n_nodes]]</f>
        <v>64</v>
      </c>
      <c r="L6" s="12" t="b">
        <f>Table1[[#This Row], [n_mpi_procs]]&gt;=Table1[[#This Row], [n_nodes]]</f>
        <v>1</v>
      </c>
    </row>
    <row r="7" spans="1:12" x14ac:dyDescent="0.25">
      <c r="A7" s="8">
        <v>20</v>
      </c>
      <c r="B7" s="9" t="s">
        <v>9</v>
      </c>
      <c r="C7" s="10">
        <v>2</v>
      </c>
      <c r="D7" s="10">
        <v>2</v>
      </c>
      <c r="E7" s="10">
        <v>4</v>
      </c>
      <c r="F7" s="10">
        <v>0</v>
      </c>
      <c r="G7" s="11" t="s">
        <v>11</v>
      </c>
      <c r="H7" s="11">
        <v>2</v>
      </c>
      <c r="I7" s="8">
        <f>Table1[[#This Row], [n_mpi_procs]]*Table1[[#This Row], [n_omp_threads]]</f>
        <v>8</v>
      </c>
      <c r="J7" s="8">
        <f>Table1[[#This Row], [n_omp_threads]]*Table1[[#This Row], [n_mpi_procs]]</f>
        <v>8</v>
      </c>
      <c r="K7" s="8">
        <f>Table1[[#This Row], [total_devices]]/Table1[[#This Row], [n_nodes]]</f>
        <v>4</v>
      </c>
      <c r="L7" s="12" t="b">
        <f>Table1[[#This Row], [n_mpi_procs]]&gt;=Table1[[#This Row], [n_nodes]]</f>
        <v>1</v>
      </c>
    </row>
    <row r="8" spans="1:12" x14ac:dyDescent="0.25">
      <c r="A8"/>
      <c r="B8"/>
      <c r="C8"/>
      <c r="D8"/>
      <c r="E8"/>
      <c r="F8"/>
      <c r="I8"/>
      <c r="J8"/>
      <c r="K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2026-02-25T03:56:49Z</dcterms:modified>
</cp:coreProperties>
</file>