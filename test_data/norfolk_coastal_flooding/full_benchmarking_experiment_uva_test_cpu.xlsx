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3F3F76"/>
      <sz val="11"/>
    </font>
  </fonts>
  <fills count="4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1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3" fontId="1" fillId="0" borderId="2" applyAlignment="1" pivotButton="0" quotePrefix="0" xfId="0">
      <alignment horizontal="left"/>
    </xf>
    <xf numFmtId="3" fontId="1" fillId="0" borderId="3" applyAlignment="1" pivotButton="0" quotePrefix="0" xfId="0">
      <alignment horizontal="left"/>
    </xf>
    <xf numFmtId="3" fontId="4" fillId="3" borderId="1" applyAlignment="1" pivotButton="0" quotePrefix="0" xfId="0">
      <alignment horizontal="right"/>
    </xf>
    <xf numFmtId="0" fontId="3" fillId="2" borderId="1" applyAlignment="1" pivotButton="0" quotePrefix="0" xfId="0">
      <alignment horizontal="right"/>
    </xf>
    <xf numFmtId="3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left"/>
    </xf>
    <xf numFmtId="0" fontId="0" fillId="0" borderId="1" pivotButton="0" quotePrefix="0" xfId="0"/>
    <xf numFmtId="0" fontId="6" fillId="2" borderId="1" applyAlignment="1" pivotButton="0" quotePrefix="0" xfId="0">
      <alignment horizontal="right"/>
    </xf>
    <xf numFmtId="3" fontId="6" fillId="2" borderId="1" applyAlignment="1" pivotButton="0" quotePrefix="0" xfId="0">
      <alignment horizontal="right"/>
    </xf>
    <xf numFmtId="0" fontId="6" fillId="2" borderId="1" applyAlignment="1" pivotButton="0" quotePrefix="0" xfId="0">
      <alignment horizontal="left"/>
    </xf>
    <xf numFmtId="0" fontId="5" fillId="0" borderId="1" pivotButton="0" quotePrefix="0" xfId="0"/>
  </cellXfs>
  <cellStyles count="1"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F3F3F"/>
        <extend val="0"/>
        <sz val="11"/>
        <vertAlign val="baseline"/>
      </font>
      <numFmt numFmtId="3" formatCode="#,##0"/>
      <fill>
        <patternFill patternType="solid">
          <fgColor indexed="64"/>
          <bgColor rgb="FFF2F2F2"/>
        </patternFill>
      </fill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F3F3F"/>
        <extend val="0"/>
        <sz val="11"/>
        <vertAlign val="baseline"/>
      </font>
      <numFmt numFmtId="3" formatCode="#,##0"/>
      <fill>
        <patternFill patternType="solid">
          <fgColor indexed="64"/>
          <bgColor rgb="FFF2F2F2"/>
        </patternFill>
      </fill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F3F3F"/>
        <extend val="0"/>
        <sz val="11"/>
        <vertAlign val="baseline"/>
      </font>
      <numFmt numFmtId="3" formatCode="#,##0"/>
      <fill>
        <patternFill patternType="solid">
          <fgColor indexed="64"/>
          <bgColor rgb="FFF2F2F2"/>
        </patternFill>
      </fill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numFmt numFmtId="3" formatCode="#,##0"/>
      <fill>
        <patternFill patternType="solid">
          <fgColor indexed="64"/>
          <bgColor rgb="FFFFCC99"/>
        </patternFill>
      </fill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numFmt numFmtId="3" formatCode="#,##0"/>
      <fill>
        <patternFill patternType="solid">
          <fgColor indexed="64"/>
          <bgColor rgb="FFFFCC99"/>
        </patternFill>
      </fill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numFmt numFmtId="3" formatCode="#,##0"/>
      <fill>
        <patternFill patternType="solid">
          <fgColor indexed="64"/>
          <bgColor rgb="FFFFCC99"/>
        </patternFill>
      </fill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numFmt numFmtId="3" formatCode="#,##0"/>
      <fill>
        <patternFill patternType="solid">
          <fgColor indexed="64"/>
          <bgColor rgb="FFFFCC99"/>
        </patternFill>
      </fill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rgb="FF3F3F3F"/>
        <extend val="0"/>
        <sz val="11"/>
        <vertAlign val="baseline"/>
      </font>
      <numFmt numFmtId="3" formatCode="#,##0"/>
      <fill>
        <patternFill patternType="solid">
          <fgColor indexed="64"/>
          <bgColor rgb="FFF2F2F2"/>
        </patternFill>
      </fill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L7" headerRowCount="1" totalsRowShown="0">
  <autoFilter ref="A1:L7"/>
  <sortState ref="A2:L6">
    <sortCondition ref="J1:J8"/>
  </sortState>
  <tableColumns count="12">
    <tableColumn id="1" name="sa iloc" dataDxfId="11"/>
    <tableColumn id="3" name="run_mode" dataDxfId="10"/>
    <tableColumn id="4" name="n_nodes" dataDxfId="9"/>
    <tableColumn id="5" name="n_mpi_procs" dataDxfId="8"/>
    <tableColumn id="6" name="n_omp_threads" dataDxfId="7"/>
    <tableColumn id="7" name="n_gpus" dataDxfId="6"/>
    <tableColumn id="8" name="hpc_ensemble_partition" dataDxfId="5"/>
    <tableColumn id="9" name="mem_gb_per_cpu" dataDxfId="4"/>
    <tableColumn id="10" name="total_OpenMP_threads" dataDxfId="3"/>
    <tableColumn id="11" name="total_devices" dataDxfId="2"/>
    <tableColumn id="12" name="devices_per_node" dataDxfId="1"/>
    <tableColumn id="13" name="Us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M8"/>
  <sheetViews>
    <sheetView tabSelected="1" workbookViewId="0">
      <selection activeCell="I6" sqref="I6"/>
    </sheetView>
  </sheetViews>
  <sheetFormatPr baseColWidth="8" defaultRowHeight="15"/>
  <cols>
    <col width="9.28515625" bestFit="1" customWidth="1" style="1" min="1" max="1"/>
    <col width="9.28515625" customWidth="1" style="1" min="2" max="2"/>
    <col width="19" bestFit="1" customWidth="1" style="2" min="3" max="3"/>
    <col width="22.42578125" bestFit="1" customWidth="1" style="2" min="4" max="4"/>
    <col width="28.28515625" bestFit="1" customWidth="1" style="2" min="5" max="6"/>
    <col width="28.28515625" bestFit="1" customWidth="1" min="7" max="7"/>
    <col width="28.28515625" customWidth="1" min="8" max="8"/>
    <col width="24.7109375" bestFit="1" customWidth="1" style="2" min="9" max="9"/>
    <col width="19" bestFit="1" customWidth="1" style="2" min="10" max="10"/>
    <col width="19.85546875" bestFit="1" customWidth="1" style="2" min="11" max="11"/>
    <col width="13.5703125" bestFit="1" customWidth="1" min="12" max="12"/>
  </cols>
  <sheetData>
    <row r="1" ht="18.75" customHeight="1">
      <c r="A1" t="inlineStr">
        <is>
          <t>member_id</t>
        </is>
      </c>
      <c r="B1" s="3" t="inlineStr">
        <is>
          <t>sa iloc</t>
        </is>
      </c>
      <c r="C1" s="3" t="inlineStr">
        <is>
          <t>run_mode</t>
        </is>
      </c>
      <c r="D1" s="4" t="inlineStr">
        <is>
          <t>n_nodes</t>
        </is>
      </c>
      <c r="E1" s="4" t="inlineStr">
        <is>
          <t>n_mpi_procs</t>
        </is>
      </c>
      <c r="F1" s="4" t="inlineStr">
        <is>
          <t>n_omp_threads</t>
        </is>
      </c>
      <c r="G1" s="4" t="inlineStr">
        <is>
          <t>n_gpus</t>
        </is>
      </c>
      <c r="H1" s="5" t="inlineStr">
        <is>
          <t>hpc_ensemble_partition</t>
        </is>
      </c>
      <c r="I1" s="5" t="inlineStr">
        <is>
          <t>mem_gb_per_cpu</t>
        </is>
      </c>
      <c r="J1" s="6" t="inlineStr">
        <is>
          <t>total_OpenMP_threads</t>
        </is>
      </c>
      <c r="K1" s="6" t="inlineStr">
        <is>
          <t>total_devices</t>
        </is>
      </c>
      <c r="L1" s="7" t="inlineStr">
        <is>
          <t>devices_per_node</t>
        </is>
      </c>
      <c r="M1" s="3" t="inlineStr">
        <is>
          <t>Use</t>
        </is>
      </c>
    </row>
    <row r="2" ht="18.75" customHeight="1">
      <c r="A2" t="n">
        <v>0</v>
      </c>
      <c r="B2" s="8" t="n">
        <v>0</v>
      </c>
      <c r="C2" s="9" t="inlineStr">
        <is>
          <t>serial</t>
        </is>
      </c>
      <c r="D2" s="10" t="n">
        <v>1</v>
      </c>
      <c r="E2" s="10" t="n">
        <v>1</v>
      </c>
      <c r="F2" s="10" t="n">
        <v>1</v>
      </c>
      <c r="G2" s="10" t="n">
        <v>0</v>
      </c>
      <c r="H2" s="11" t="inlineStr">
        <is>
          <t>standard</t>
        </is>
      </c>
      <c r="I2" s="11" t="n">
        <v>2</v>
      </c>
      <c r="J2" s="8">
        <f>Table1[[#This Row], [n_mpi_procs]]*Table1[[#This Row], [n_omp_threads]]</f>
        <v/>
      </c>
      <c r="K2" s="8">
        <f>Table1[[#This Row], [n_omp_threads]]*Table1[[#This Row], [n_mpi_procs]]</f>
        <v/>
      </c>
      <c r="L2" s="8">
        <f>Table1[[#This Row], [total_devices]]/Table1[[#This Row], [n_nodes]]</f>
        <v/>
      </c>
      <c r="M2" s="12">
        <f>Table1[[#This Row], [n_mpi_procs]]&gt;=Table1[[#This Row], [n_nodes]]</f>
        <v/>
      </c>
    </row>
    <row r="3">
      <c r="A3" t="n">
        <v>1</v>
      </c>
      <c r="B3" s="8" t="n">
        <v>14</v>
      </c>
      <c r="C3" s="13" t="inlineStr">
        <is>
          <t>hybrid</t>
        </is>
      </c>
      <c r="D3" s="14" t="n">
        <v>1</v>
      </c>
      <c r="E3" s="14" t="n">
        <v>32</v>
      </c>
      <c r="F3" s="14" t="n">
        <v>2</v>
      </c>
      <c r="G3" s="14" t="n">
        <v>0</v>
      </c>
      <c r="H3" s="15" t="inlineStr">
        <is>
          <t>standard</t>
        </is>
      </c>
      <c r="I3" s="15" t="n">
        <v>2</v>
      </c>
      <c r="J3" s="8">
        <f>Table1[[#This Row], [n_mpi_procs]]*Table1[[#This Row], [n_omp_threads]]</f>
        <v/>
      </c>
      <c r="K3" s="8">
        <f>Table1[[#This Row], [n_omp_threads]]*Table1[[#This Row], [n_mpi_procs]]</f>
        <v/>
      </c>
      <c r="L3" s="8">
        <f>Table1[[#This Row], [total_devices]]/Table1[[#This Row], [n_nodes]]</f>
        <v/>
      </c>
      <c r="M3" s="16">
        <f>Table1[[#This Row], [n_mpi_procs]]&gt;=Table1[[#This Row], [n_nodes]]</f>
        <v/>
      </c>
    </row>
    <row r="4">
      <c r="A4" t="n">
        <v>2</v>
      </c>
      <c r="B4" s="8" t="n">
        <v>17</v>
      </c>
      <c r="C4" s="9" t="inlineStr">
        <is>
          <t>hybrid</t>
        </is>
      </c>
      <c r="D4" s="10" t="n">
        <v>2</v>
      </c>
      <c r="E4" s="10" t="n">
        <v>32</v>
      </c>
      <c r="F4" s="10" t="n">
        <v>4</v>
      </c>
      <c r="G4" s="10" t="n">
        <v>0</v>
      </c>
      <c r="H4" s="11" t="inlineStr">
        <is>
          <t>parallel</t>
        </is>
      </c>
      <c r="I4" s="11" t="n">
        <v>2</v>
      </c>
      <c r="J4" s="8">
        <f>Table1[[#This Row], [n_mpi_procs]]*Table1[[#This Row], [n_omp_threads]]</f>
        <v/>
      </c>
      <c r="K4" s="8">
        <f>Table1[[#This Row], [n_omp_threads]]*Table1[[#This Row], [n_mpi_procs]]</f>
        <v/>
      </c>
      <c r="L4" s="8">
        <f>Table1[[#This Row], [total_devices]]/Table1[[#This Row], [n_nodes]]</f>
        <v/>
      </c>
      <c r="M4" s="12">
        <f>Table1[[#This Row], [n_mpi_procs]]&gt;=Table1[[#This Row], [n_nodes]]</f>
        <v/>
      </c>
    </row>
    <row r="5">
      <c r="A5" t="n">
        <v>3</v>
      </c>
      <c r="B5" s="8" t="n">
        <v>18</v>
      </c>
      <c r="C5" s="9" t="inlineStr">
        <is>
          <t>hybrid</t>
        </is>
      </c>
      <c r="D5" s="10" t="n">
        <v>2</v>
      </c>
      <c r="E5" s="10" t="n">
        <v>64</v>
      </c>
      <c r="F5" s="10" t="n">
        <v>2</v>
      </c>
      <c r="G5" s="10" t="n">
        <v>0</v>
      </c>
      <c r="H5" s="11" t="inlineStr">
        <is>
          <t>parallel</t>
        </is>
      </c>
      <c r="I5" s="11" t="n">
        <v>2</v>
      </c>
      <c r="J5" s="8">
        <f>Table1[[#This Row], [n_mpi_procs]]*Table1[[#This Row], [n_omp_threads]]</f>
        <v/>
      </c>
      <c r="K5" s="8">
        <f>Table1[[#This Row], [n_omp_threads]]*Table1[[#This Row], [n_mpi_procs]]</f>
        <v/>
      </c>
      <c r="L5" s="8">
        <f>Table1[[#This Row], [total_devices]]/Table1[[#This Row], [n_nodes]]</f>
        <v/>
      </c>
      <c r="M5" s="12">
        <f>Table1[[#This Row], [n_mpi_procs]]&gt;=Table1[[#This Row], [n_nodes]]</f>
        <v/>
      </c>
    </row>
    <row r="6">
      <c r="A6" t="n">
        <v>4</v>
      </c>
      <c r="B6" s="8" t="n">
        <v>19</v>
      </c>
      <c r="C6" s="9" t="inlineStr">
        <is>
          <t>hybrid</t>
        </is>
      </c>
      <c r="D6" s="10" t="n">
        <v>2</v>
      </c>
      <c r="E6" s="10" t="n">
        <v>2</v>
      </c>
      <c r="F6" s="10" t="n">
        <v>64</v>
      </c>
      <c r="G6" s="10" t="n">
        <v>0</v>
      </c>
      <c r="H6" s="11" t="inlineStr">
        <is>
          <t>parallel</t>
        </is>
      </c>
      <c r="I6" s="11" t="n">
        <v>2</v>
      </c>
      <c r="J6" s="8">
        <f>Table1[[#This Row], [n_mpi_procs]]*Table1[[#This Row], [n_omp_threads]]</f>
        <v/>
      </c>
      <c r="K6" s="8">
        <f>Table1[[#This Row], [n_omp_threads]]*Table1[[#This Row], [n_mpi_procs]]</f>
        <v/>
      </c>
      <c r="L6" s="8">
        <f>Table1[[#This Row], [total_devices]]/Table1[[#This Row], [n_nodes]]</f>
        <v/>
      </c>
      <c r="M6" s="12">
        <f>Table1[[#This Row], [n_mpi_procs]]&gt;=Table1[[#This Row], [n_nodes]]</f>
        <v/>
      </c>
    </row>
    <row r="7">
      <c r="A7" t="n">
        <v>5</v>
      </c>
      <c r="B7" s="8" t="n">
        <v>20</v>
      </c>
      <c r="C7" s="9" t="inlineStr">
        <is>
          <t>hybrid</t>
        </is>
      </c>
      <c r="D7" s="10" t="n">
        <v>2</v>
      </c>
      <c r="E7" s="10" t="n">
        <v>2</v>
      </c>
      <c r="F7" s="10" t="n">
        <v>4</v>
      </c>
      <c r="G7" s="10" t="n">
        <v>0</v>
      </c>
      <c r="H7" s="11" t="inlineStr">
        <is>
          <t>parallel</t>
        </is>
      </c>
      <c r="I7" s="11" t="n">
        <v>2</v>
      </c>
      <c r="J7" s="8">
        <f>Table1[[#This Row], [n_mpi_procs]]*Table1[[#This Row], [n_omp_threads]]</f>
        <v/>
      </c>
      <c r="K7" s="8">
        <f>Table1[[#This Row], [n_omp_threads]]*Table1[[#This Row], [n_mpi_procs]]</f>
        <v/>
      </c>
      <c r="L7" s="8">
        <f>Table1[[#This Row], [total_devices]]/Table1[[#This Row], [n_nodes]]</f>
        <v/>
      </c>
      <c r="M7" s="12">
        <f>Table1[[#This Row], [n_mpi_procs]]&gt;=Table1[[#This Row], [n_nodes]]</f>
        <v/>
      </c>
    </row>
    <row r="8">
      <c r="A8" t="n">
        <v>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Lassiter</dc:creator>
  <dcterms:created xmlns:dcterms="http://purl.org/dc/terms/" xmlns:xsi="http://www.w3.org/2001/XMLSchema-instance" xsi:type="dcterms:W3CDTF">2026-02-16T13:41:23Z</dcterms:created>
  <dcterms:modified xmlns:dcterms="http://purl.org/dc/terms/" xmlns:xsi="http://www.w3.org/2001/XMLSchema-instance" xsi:type="dcterms:W3CDTF">2026-08-30T23:35:56Z</dcterms:modified>
  <cp:lastModifiedBy>Lassiter, Daniel Charles (dcl3nd)</cp:lastModifiedBy>
</cp:coreProperties>
</file>