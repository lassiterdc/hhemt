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2AC84055-C68E-4FD8-838F-15310D5DF54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umm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I3" i="1"/>
  <c r="J3" i="1" s="1"/>
  <c r="K3" i="1"/>
  <c r="H4" i="1"/>
  <c r="I4" i="1"/>
  <c r="J4" i="1" s="1"/>
  <c r="K4" i="1"/>
  <c r="H5" i="1"/>
  <c r="I5" i="1"/>
  <c r="J5" i="1" s="1"/>
  <c r="K5" i="1"/>
  <c r="H2" i="1"/>
  <c r="I2" i="1"/>
  <c r="J2" i="1" s="1"/>
  <c r="K2" i="1"/>
</calcChain>
</file>

<file path=xl/sharedStrings.xml><?xml version="1.0" encoding="utf-8"?>
<sst xmlns="http://schemas.openxmlformats.org/spreadsheetml/2006/main" count="19" uniqueCount="16">
  <si>
    <t>run_mode</t>
  </si>
  <si>
    <t>n_nodes</t>
  </si>
  <si>
    <t>n_mpi_procs</t>
  </si>
  <si>
    <t>n_omp_threads</t>
  </si>
  <si>
    <t>n_gpus</t>
  </si>
  <si>
    <t>hpc_ensemble_partition</t>
  </si>
  <si>
    <t>total_OpenMP_threads</t>
  </si>
  <si>
    <t>total_devices</t>
  </si>
  <si>
    <t>devices_per_node</t>
  </si>
  <si>
    <t>hybrid</t>
  </si>
  <si>
    <t>standard</t>
  </si>
  <si>
    <t>mem_gb_per_cpu</t>
  </si>
  <si>
    <t>Use</t>
  </si>
  <si>
    <t>mpi</t>
  </si>
  <si>
    <t>serial</t>
  </si>
  <si>
    <t>openmp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</si>
</sst>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0" fontId="3" fillId="2" borderId="3" xfId="0" applyFont="1" applyFill="1" applyBorder="1" applyAlignment="1">
      <alignment horizontal="right"/>
    </xf>
    <xf numFmtId="3" fontId="3" fillId="2" borderId="3" xfId="0" applyNumberFormat="1" applyFont="1" applyFill="1" applyBorder="1" applyAlignment="1">
      <alignment horizontal="right"/>
    </xf>
    <xf numFmtId="0" fontId="3" fillId="2" borderId="3" xfId="0" applyFont="1" applyFill="1" applyBorder="1" applyAlignment="1">
      <alignment horizontal="left"/>
    </xf>
    <xf numFmtId="3" fontId="4" fillId="3" borderId="3" xfId="0" applyNumberFormat="1" applyFont="1" applyFill="1" applyBorder="1" applyAlignment="1">
      <alignment horizontal="right"/>
    </xf>
    <xf numFmtId="3" fontId="4" fillId="3" borderId="4" xfId="0" applyNumberFormat="1" applyFont="1" applyFill="1" applyBorder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Calibri"/>
        <family val="2"/>
        <scheme val="none"/>
      </font>
      <fill>
        <patternFill patternType="solid">
          <fgColor indexed="64"/>
          <bgColor rgb="FFFFCC9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5" totalsRowShown="0">
  <autoFilter ref="A1:K5" xr:uid="{00000000-0009-0000-0100-000001000000}"/>
  <sortState xmlns:xlrd2="http://schemas.microsoft.com/office/spreadsheetml/2017/richdata2" ref="A2:K5">
    <sortCondition ref="I1:I7"/>
  </sortState>
  <tableColumns count="11">
    <tableColumn id="3" xr3:uid="{00000000-0010-0000-0000-000003000000}" name="run_mode"/>
    <tableColumn id="4" xr3:uid="{00000000-0010-0000-0000-000004000000}" name="n_nodes"/>
    <tableColumn id="5" xr3:uid="{00000000-0010-0000-0000-000005000000}" name="n_mpi_procs"/>
    <tableColumn id="6" xr3:uid="{00000000-0010-0000-0000-000006000000}" name="n_omp_threads"/>
    <tableColumn id="7" xr3:uid="{00000000-0010-0000-0000-000007000000}" name="n_gpus"/>
    <tableColumn id="8" xr3:uid="{00000000-0010-0000-0000-000008000000}" name="hpc_ensemble_partition"/>
    <tableColumn id="9" xr3:uid="{26339B98-C3B5-4C3B-9409-F4B744B2B94C}" name="mem_gb_per_cpu" dataDxfId="0"/>
    <tableColumn id="10" xr3:uid="{00000000-0010-0000-0000-00000A000000}" name="total_OpenMP_threads"/>
    <tableColumn id="11" xr3:uid="{00000000-0010-0000-0000-00000B000000}" name="total_devices"/>
    <tableColumn id="12" xr3:uid="{00000000-0010-0000-0000-00000C000000}" name="devices_per_node"/>
    <tableColumn id="13" xr3:uid="{00000000-0010-0000-0000-00000D000000}" name="Us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K7"/>
  <sheetViews>
    <sheetView tabSelected="1" workbookViewId="0">
      <selection activeCell="C3" sqref="C3"/>
    </sheetView>
  </sheetViews>
  <sheetFormatPr defaultRowHeight="15" x14ac:dyDescent="0.25"/>
  <cols>
    <col min="1" max="1" width="9.28515625" style="11" bestFit="1" customWidth="1"/>
    <col min="2" max="2" width="19" style="12" bestFit="1" customWidth="1"/>
    <col min="3" max="3" width="22.42578125" style="12" bestFit="1" customWidth="1"/>
    <col min="4" max="5" width="28.28515625" style="12" bestFit="1" customWidth="1"/>
    <col min="6" max="6" width="28.28515625" bestFit="1" customWidth="1"/>
    <col min="7" max="7" width="28.28515625" customWidth="1"/>
    <col min="8" max="8" width="24.7109375" style="12" bestFit="1" customWidth="1"/>
    <col min="9" max="9" width="19" style="12" bestFit="1" customWidth="1"/>
    <col min="10" max="10" width="19.85546875" style="12" bestFit="1" customWidth="1"/>
    <col min="11" max="11" width="13.5703125" bestFit="1" customWidth="1"/>
  </cols>
  <sheetData>
    <row r="1" spans="1:11" ht="18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11</v>
      </c>
      <c r="H1" s="4" t="s">
        <v>6</v>
      </c>
      <c r="I1" s="4" t="s">
        <v>7</v>
      </c>
      <c r="J1" s="5" t="s">
        <v>8</v>
      </c>
      <c r="K1" s="1" t="s">
        <v>12</v>
      </c>
    </row>
    <row r="2" spans="1:11" ht="18.75" customHeight="1" x14ac:dyDescent="0.25">
      <c r="A2" s="6" t="s">
        <v>14</v>
      </c>
      <c r="B2" s="7">
        <v>1</v>
      </c>
      <c r="C2" s="7">
        <v>1</v>
      </c>
      <c r="D2" s="7">
        <v>1</v>
      </c>
      <c r="E2" s="7">
        <v>0</v>
      </c>
      <c r="F2" s="8" t="s">
        <v>10</v>
      </c>
      <c r="G2" s="8">
        <v>2</v>
      </c>
      <c r="H2" s="9">
        <f>Table1[[#This Row], [n_mpi_procs]]*Table1[[#This Row], [n_omp_threads]]</f>
        <v>1</v>
      </c>
      <c r="I2" s="9">
        <f>Table1[[#This Row], [n_omp_threads]]*Table1[[#This Row], [n_mpi_procs]]</f>
        <v>1</v>
      </c>
      <c r="J2" s="10">
        <f>Table1[[#This Row], [total_devices]]/Table1[[#This Row], [n_nodes]]</f>
        <v>1</v>
      </c>
      <c r="K2" t="b">
        <f>Table1[[#This Row], [n_mpi_procs]]&gt;=Table1[[#This Row], [n_nodes]]</f>
        <v>1</v>
      </c>
    </row>
    <row r="3" spans="1:11" ht="18.75" customHeight="1" x14ac:dyDescent="0.25">
      <c r="A3" s="6" t="s">
        <v>15</v>
      </c>
      <c r="B3" s="7">
        <v>1</v>
      </c>
      <c r="C3" s="7">
        <v>1</v>
      </c>
      <c r="D3" s="7">
        <v>2</v>
      </c>
      <c r="E3" s="7">
        <v>0</v>
      </c>
      <c r="F3" s="8" t="s">
        <v>10</v>
      </c>
      <c r="G3" s="8">
        <v>2</v>
      </c>
      <c r="H3" s="9">
        <f>Table1[[#This Row], [n_mpi_procs]]*Table1[[#This Row], [n_omp_threads]]</f>
        <v>2</v>
      </c>
      <c r="I3" s="9">
        <f>Table1[[#This Row], [n_omp_threads]]*Table1[[#This Row], [n_mpi_procs]]</f>
        <v>2</v>
      </c>
      <c r="J3" s="10">
        <f>Table1[[#This Row], [total_devices]]/Table1[[#This Row], [n_nodes]]</f>
        <v>2</v>
      </c>
      <c r="K3" t="b">
        <f>Table1[[#This Row], [n_mpi_procs]]&gt;=Table1[[#This Row], [n_nodes]]</f>
        <v>1</v>
      </c>
    </row>
    <row r="4" spans="1:11" ht="18.75" customHeight="1" x14ac:dyDescent="0.25">
      <c r="A4" s="6" t="s">
        <v>13</v>
      </c>
      <c r="B4" s="7">
        <v>1</v>
      </c>
      <c r="C4" s="7">
        <v>2</v>
      </c>
      <c r="D4" s="7">
        <v>1</v>
      </c>
      <c r="E4" s="7">
        <v>0</v>
      </c>
      <c r="F4" s="8" t="s">
        <v>10</v>
      </c>
      <c r="G4" s="8">
        <v>2</v>
      </c>
      <c r="H4" s="9">
        <f>Table1[[#This Row], [n_mpi_procs]]*Table1[[#This Row], [n_omp_threads]]</f>
        <v>2</v>
      </c>
      <c r="I4" s="9">
        <f>Table1[[#This Row], [n_omp_threads]]*Table1[[#This Row], [n_mpi_procs]]</f>
        <v>2</v>
      </c>
      <c r="J4" s="10">
        <f>Table1[[#This Row], [total_devices]]/Table1[[#This Row], [n_nodes]]</f>
        <v>2</v>
      </c>
      <c r="K4" t="b">
        <f>Table1[[#This Row], [n_mpi_procs]]&gt;=Table1[[#This Row], [n_nodes]]</f>
        <v>1</v>
      </c>
    </row>
    <row r="5" spans="1:11" x14ac:dyDescent="0.25">
      <c r="A5" s="6" t="s">
        <v>9</v>
      </c>
      <c r="B5" s="7">
        <v>1</v>
      </c>
      <c r="C5" s="7">
        <v>2</v>
      </c>
      <c r="D5" s="7">
        <v>2</v>
      </c>
      <c r="E5" s="7">
        <v>0</v>
      </c>
      <c r="F5" s="8" t="s">
        <v>10</v>
      </c>
      <c r="G5" s="8">
        <v>2</v>
      </c>
      <c r="H5" s="9">
        <f>Table1[[#This Row], [n_mpi_procs]]*Table1[[#This Row], [n_omp_threads]]</f>
        <v>4</v>
      </c>
      <c r="I5" s="9">
        <f>Table1[[#This Row], [n_omp_threads]]*Table1[[#This Row], [n_mpi_procs]]</f>
        <v>4</v>
      </c>
      <c r="J5" s="10">
        <f>Table1[[#This Row], [total_devices]]/Table1[[#This Row], [n_nodes]]</f>
        <v>4</v>
      </c>
      <c r="K5" t="b">
        <f>Table1[[#This Row], [n_mpi_procs]]&gt;=Table1[[#This Row], [n_nodes]]</f>
        <v>1</v>
      </c>
    </row>
    <row r="6" spans="1:11" x14ac:dyDescent="0.25">
      <c r="A6"/>
      <c r="B6"/>
      <c r="C6"/>
      <c r="D6"/>
      <c r="E6"/>
      <c r="H6"/>
      <c r="I6"/>
      <c r="J6"/>
    </row>
    <row r="7" spans="1:11" x14ac:dyDescent="0.25">
      <c r="A7"/>
      <c r="B7"/>
      <c r="C7"/>
      <c r="D7"/>
      <c r="E7"/>
      <c r="H7"/>
      <c r="I7"/>
      <c r="J7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Lassiter</dc:creator>
  <cp:lastModifiedBy>Lassiter, Daniel Charles (dcl3nd)</cp:lastModifiedBy>
  <dcterms:created xsi:type="dcterms:W3CDTF">2026-02-16T13:41:23Z</dcterms:created>
  <dcterms:modified xsi:type="dcterms:W3CDTF">2026-02-24T13:53:36Z</dcterms:modified>
</cp:coreProperties>
</file>