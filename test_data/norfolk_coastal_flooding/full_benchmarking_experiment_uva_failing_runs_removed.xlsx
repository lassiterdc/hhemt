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4185" windowWidth="29040" windowHeight="1572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3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3" fontId="2" fillId="0" borderId="3" applyAlignment="1" pivotButton="0" quotePrefix="0" xfId="0">
      <alignment horizontal="left"/>
    </xf>
    <xf numFmtId="3" fontId="1" fillId="0" borderId="2" applyAlignment="1" pivotButton="0" quotePrefix="0" xfId="0">
      <alignment horizontal="left"/>
    </xf>
    <xf numFmtId="3" fontId="1" fillId="0" borderId="4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1" fillId="2" borderId="6" applyAlignment="1" pivotButton="0" quotePrefix="0" xfId="0">
      <alignment horizontal="left"/>
    </xf>
    <xf numFmtId="0" fontId="3" fillId="3" borderId="6" applyAlignment="1" pivotButton="0" quotePrefix="0" xfId="0">
      <alignment horizontal="right"/>
    </xf>
    <xf numFmtId="3" fontId="3" fillId="3" borderId="6" applyAlignment="1" pivotButton="0" quotePrefix="0" xfId="0">
      <alignment horizontal="right"/>
    </xf>
    <xf numFmtId="0" fontId="3" fillId="3" borderId="6" applyAlignment="1" pivotButton="0" quotePrefix="0" xfId="0">
      <alignment horizontal="left"/>
    </xf>
    <xf numFmtId="3" fontId="4" fillId="4" borderId="6" applyAlignment="1" pivotButton="0" quotePrefix="0" xfId="0">
      <alignment horizontal="right"/>
    </xf>
    <xf numFmtId="3" fontId="4" fillId="4" borderId="7" applyAlignment="1" pivotButton="0" quotePrefix="0" xfId="0">
      <alignment horizontal="right"/>
    </xf>
    <xf numFmtId="0" fontId="2" fillId="2" borderId="5" applyAlignment="1" pivotButton="0" quotePrefix="0" xfId="0">
      <alignment horizontal="left"/>
    </xf>
    <xf numFmtId="0" fontId="2" fillId="2" borderId="6" applyAlignment="1" pivotButton="0" quotePrefix="0" xfId="0">
      <alignment horizontal="left"/>
    </xf>
    <xf numFmtId="0" fontId="2" fillId="2" borderId="8" applyAlignment="1" pivotButton="0" quotePrefix="0" xfId="0">
      <alignment horizontal="left"/>
    </xf>
    <xf numFmtId="0" fontId="2" fillId="2" borderId="9" applyAlignment="1" pivotButton="0" quotePrefix="0" xfId="0">
      <alignment horizontal="left"/>
    </xf>
    <xf numFmtId="3" fontId="3" fillId="3" borderId="9" applyAlignment="1" pivotButton="0" quotePrefix="0" xfId="0">
      <alignment horizontal="right"/>
    </xf>
    <xf numFmtId="3" fontId="4" fillId="4" borderId="1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dxfs count="2"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rgb="FFFFFFCC"/>
        </patternFill>
      </fill>
      <alignment horizontal="left" vertical="bottom"/>
      <border>
        <left style="thin">
          <color rgb="FFC6C6C6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fill>
        <patternFill patternType="solid">
          <fgColor indexed="64"/>
          <bgColor rgb="FFFFCC99"/>
        </patternFill>
      </fill>
      <alignment horizontal="lef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O37" headerRowCount="1" totalsRowShown="0">
  <autoFilter ref="A1:O37"/>
  <tableColumns count="15">
    <tableColumn id="15" name="sa iloc" dataDxfId="0"/>
    <tableColumn id="1" name="hardware_utilization_strategy"/>
    <tableColumn id="2" name="device"/>
    <tableColumn id="3" name="run_mode"/>
    <tableColumn id="4" name="n_nodes"/>
    <tableColumn id="5" name="n_mpi_procs"/>
    <tableColumn id="6" name="n_omp_threads"/>
    <tableColumn id="7" name="n_gpus"/>
    <tableColumn id="8" name="hpc_ensemble_partition"/>
    <tableColumn id="14" name="mem_gb_per_cpu" dataDxfId="1"/>
    <tableColumn id="9" name="hpc_time_min_per_sim"/>
    <tableColumn id="10" name="total_OpenMP_threads"/>
    <tableColumn id="11" name="total_devices"/>
    <tableColumn id="12" name="devices_per_node"/>
    <tableColumn id="13" name="che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P37"/>
  <sheetViews>
    <sheetView tabSelected="1" workbookViewId="0">
      <selection activeCell="D10" sqref="D10"/>
    </sheetView>
  </sheetViews>
  <sheetFormatPr baseColWidth="8" defaultRowHeight="15"/>
  <cols>
    <col width="29.85546875" bestFit="1" customWidth="1" style="21" min="1" max="1"/>
    <col width="9.28515625" bestFit="1" customWidth="1" style="21" min="2" max="2"/>
    <col width="9.28515625" bestFit="1" customWidth="1" style="22" min="3" max="3"/>
    <col width="19" bestFit="1" customWidth="1" style="23" min="4" max="4"/>
    <col width="22.42578125" bestFit="1" customWidth="1" style="23" min="5" max="5"/>
    <col width="28.28515625" bestFit="1" customWidth="1" style="23" min="6" max="7"/>
    <col width="28.28515625" bestFit="1" customWidth="1" min="8" max="8"/>
    <col width="28.28515625" customWidth="1" min="9" max="9"/>
    <col width="28.28515625" bestFit="1" customWidth="1" style="23" min="10" max="10"/>
    <col width="24.7109375" bestFit="1" customWidth="1" style="23" min="11" max="11"/>
    <col width="19" bestFit="1" customWidth="1" style="23" min="12" max="12"/>
    <col width="19.85546875" bestFit="1" customWidth="1" style="23" min="13" max="13"/>
    <col width="13.5703125" bestFit="1" customWidth="1" min="14" max="14"/>
  </cols>
  <sheetData>
    <row r="1" ht="18.75" customHeight="1">
      <c r="A1" t="inlineStr">
        <is>
          <t>member_id</t>
        </is>
      </c>
      <c r="B1" s="1" t="inlineStr">
        <is>
          <t>sa iloc</t>
        </is>
      </c>
      <c r="C1" s="1" t="inlineStr">
        <is>
          <t>hardware_utilization_strategy</t>
        </is>
      </c>
      <c r="D1" s="2" t="inlineStr">
        <is>
          <t>device</t>
        </is>
      </c>
      <c r="E1" s="2" t="inlineStr">
        <is>
          <t>run_mode</t>
        </is>
      </c>
      <c r="F1" s="3" t="inlineStr">
        <is>
          <t>n_nodes</t>
        </is>
      </c>
      <c r="G1" s="3" t="inlineStr">
        <is>
          <t>n_mpi_procs</t>
        </is>
      </c>
      <c r="H1" s="3" t="inlineStr">
        <is>
          <t>n_omp_threads</t>
        </is>
      </c>
      <c r="I1" s="3" t="inlineStr">
        <is>
          <t>n_gpus</t>
        </is>
      </c>
      <c r="J1" s="4" t="inlineStr">
        <is>
          <t>hpc_ensemble_partition</t>
        </is>
      </c>
      <c r="K1" s="4" t="inlineStr">
        <is>
          <t>mem_gb_per_cpu</t>
        </is>
      </c>
      <c r="L1" s="5" t="inlineStr">
        <is>
          <t>hpc_time_min_per_sim</t>
        </is>
      </c>
      <c r="M1" s="6" t="inlineStr">
        <is>
          <t>total_OpenMP_threads</t>
        </is>
      </c>
      <c r="N1" s="6" t="inlineStr">
        <is>
          <t>total_devices</t>
        </is>
      </c>
      <c r="O1" s="7" t="inlineStr">
        <is>
          <t>devices_per_node</t>
        </is>
      </c>
      <c r="P1" s="2" t="inlineStr">
        <is>
          <t>check</t>
        </is>
      </c>
    </row>
    <row r="2" ht="19.5" customHeight="1">
      <c r="A2" t="n">
        <v>0</v>
      </c>
      <c r="B2" s="8" t="n">
        <v>0</v>
      </c>
      <c r="C2" s="8" t="inlineStr">
        <is>
          <t>GPU</t>
        </is>
      </c>
      <c r="D2" s="9" t="inlineStr">
        <is>
          <t>GPU</t>
        </is>
      </c>
      <c r="E2" s="10" t="inlineStr">
        <is>
          <t>gpu</t>
        </is>
      </c>
      <c r="F2" s="11" t="n">
        <v>1</v>
      </c>
      <c r="G2" s="11" t="n">
        <v>1</v>
      </c>
      <c r="H2" s="11" t="n">
        <v>1</v>
      </c>
      <c r="I2" s="11" t="n">
        <v>1</v>
      </c>
      <c r="J2" s="12" t="inlineStr">
        <is>
          <t>gpu</t>
        </is>
      </c>
      <c r="K2" s="12" t="n">
        <v>8</v>
      </c>
      <c r="L2" s="11" t="n">
        <v>720</v>
      </c>
      <c r="M2" s="13">
        <f>Table1[[#This Row], [n_mpi_procs]]*Table1[[#This Row], [n_omp_threads]]</f>
        <v/>
      </c>
      <c r="N2" s="13">
        <f>Table1[[#This Row], [n_omp_threads]]*Table1[[#This Row], [n_mpi_procs]]</f>
        <v/>
      </c>
      <c r="O2" s="14">
        <f>Table1[[#This Row], [total_devices]]/Table1[[#This Row], [n_nodes]]</f>
        <v/>
      </c>
      <c r="P2">
        <f>Table1[[#This Row], [n_mpi_procs]]&gt;=Table1[[#This Row], [n_nodes]]</f>
        <v/>
      </c>
    </row>
    <row r="3" ht="19.5" customHeight="1">
      <c r="A3" t="n">
        <v>1</v>
      </c>
      <c r="B3" s="8" t="n">
        <v>1</v>
      </c>
      <c r="C3" s="8" t="inlineStr">
        <is>
          <t>GPU</t>
        </is>
      </c>
      <c r="D3" s="9" t="inlineStr">
        <is>
          <t>GPU</t>
        </is>
      </c>
      <c r="E3" s="10" t="inlineStr">
        <is>
          <t>gpu</t>
        </is>
      </c>
      <c r="F3" s="11" t="n">
        <v>1</v>
      </c>
      <c r="G3" s="11" t="n">
        <v>2</v>
      </c>
      <c r="H3" s="11" t="n">
        <v>1</v>
      </c>
      <c r="I3" s="11" t="n">
        <v>2</v>
      </c>
      <c r="J3" s="12" t="inlineStr">
        <is>
          <t>gpu</t>
        </is>
      </c>
      <c r="K3" s="12" t="n">
        <v>8</v>
      </c>
      <c r="L3" s="11" t="n">
        <v>720</v>
      </c>
      <c r="M3" s="13">
        <f>Table1[[#This Row], [n_mpi_procs]]*Table1[[#This Row], [n_omp_threads]]</f>
        <v/>
      </c>
      <c r="N3" s="13">
        <f>Table1[[#This Row], [n_omp_threads]]*Table1[[#This Row], [n_mpi_procs]]</f>
        <v/>
      </c>
      <c r="O3" s="14">
        <f>Table1[[#This Row], [total_devices]]/Table1[[#This Row], [n_nodes]]</f>
        <v/>
      </c>
      <c r="P3">
        <f>Table1[[#This Row], [n_mpi_procs]]&gt;=Table1[[#This Row], [n_nodes]]</f>
        <v/>
      </c>
    </row>
    <row r="4" ht="19.5" customHeight="1">
      <c r="A4" t="n">
        <v>2</v>
      </c>
      <c r="B4" s="8" t="n">
        <v>2</v>
      </c>
      <c r="C4" s="8" t="inlineStr">
        <is>
          <t>GPU</t>
        </is>
      </c>
      <c r="D4" s="9" t="inlineStr">
        <is>
          <t>GPU</t>
        </is>
      </c>
      <c r="E4" s="10" t="inlineStr">
        <is>
          <t>gpu</t>
        </is>
      </c>
      <c r="F4" s="11" t="n">
        <v>1</v>
      </c>
      <c r="G4" s="11" t="n">
        <v>3</v>
      </c>
      <c r="H4" s="11" t="n">
        <v>1</v>
      </c>
      <c r="I4" s="11" t="n">
        <v>3</v>
      </c>
      <c r="J4" s="12" t="inlineStr">
        <is>
          <t>gpu</t>
        </is>
      </c>
      <c r="K4" s="12" t="n">
        <v>8</v>
      </c>
      <c r="L4" s="11" t="n">
        <v>720</v>
      </c>
      <c r="M4" s="13">
        <f>Table1[[#This Row], [n_mpi_procs]]*Table1[[#This Row], [n_omp_threads]]</f>
        <v/>
      </c>
      <c r="N4" s="13">
        <f>Table1[[#This Row], [n_omp_threads]]*Table1[[#This Row], [n_mpi_procs]]</f>
        <v/>
      </c>
      <c r="O4" s="14">
        <f>Table1[[#This Row], [total_devices]]/Table1[[#This Row], [n_nodes]]</f>
        <v/>
      </c>
      <c r="P4">
        <f>Table1[[#This Row], [n_mpi_procs]]&gt;=Table1[[#This Row], [n_nodes]]</f>
        <v/>
      </c>
    </row>
    <row r="5" ht="19.5" customHeight="1">
      <c r="A5" t="n">
        <v>3</v>
      </c>
      <c r="B5" s="8" t="n">
        <v>3</v>
      </c>
      <c r="C5" s="8" t="inlineStr">
        <is>
          <t>GPU</t>
        </is>
      </c>
      <c r="D5" s="9" t="inlineStr">
        <is>
          <t>GPU</t>
        </is>
      </c>
      <c r="E5" s="10" t="inlineStr">
        <is>
          <t>gpu</t>
        </is>
      </c>
      <c r="F5" s="11" t="n">
        <v>1</v>
      </c>
      <c r="G5" s="11" t="n">
        <v>4</v>
      </c>
      <c r="H5" s="11" t="n">
        <v>1</v>
      </c>
      <c r="I5" s="11" t="n">
        <v>4</v>
      </c>
      <c r="J5" s="12" t="inlineStr">
        <is>
          <t>gpu</t>
        </is>
      </c>
      <c r="K5" s="12" t="n">
        <v>8</v>
      </c>
      <c r="L5" s="11" t="n">
        <v>720</v>
      </c>
      <c r="M5" s="13">
        <f>Table1[[#This Row], [n_mpi_procs]]*Table1[[#This Row], [n_omp_threads]]</f>
        <v/>
      </c>
      <c r="N5" s="13">
        <f>Table1[[#This Row], [n_omp_threads]]*Table1[[#This Row], [n_mpi_procs]]</f>
        <v/>
      </c>
      <c r="O5" s="14">
        <f>Table1[[#This Row], [total_devices]]/Table1[[#This Row], [n_nodes]]</f>
        <v/>
      </c>
      <c r="P5">
        <f>Table1[[#This Row], [n_mpi_procs]]&gt;=Table1[[#This Row], [n_nodes]]</f>
        <v/>
      </c>
    </row>
    <row r="6" ht="19.5" customHeight="1">
      <c r="A6" t="n">
        <v>4</v>
      </c>
      <c r="B6" s="8" t="n">
        <v>9</v>
      </c>
      <c r="C6" s="15" t="inlineStr">
        <is>
          <t>Multi-CPU - HYB</t>
        </is>
      </c>
      <c r="D6" s="16" t="inlineStr">
        <is>
          <t>CPU</t>
        </is>
      </c>
      <c r="E6" s="10" t="inlineStr">
        <is>
          <t>hybrid</t>
        </is>
      </c>
      <c r="F6" s="11" t="n">
        <v>1</v>
      </c>
      <c r="G6" s="11" t="n">
        <v>2</v>
      </c>
      <c r="H6" s="11" t="n">
        <v>2</v>
      </c>
      <c r="I6" s="11" t="n">
        <v>0</v>
      </c>
      <c r="J6" s="12" t="inlineStr">
        <is>
          <t>standard</t>
        </is>
      </c>
      <c r="K6" s="12" t="n">
        <v>2</v>
      </c>
      <c r="L6" s="11" t="n">
        <v>720</v>
      </c>
      <c r="M6" s="13">
        <f>Table1[[#This Row], [n_mpi_procs]]*Table1[[#This Row], [n_omp_threads]]</f>
        <v/>
      </c>
      <c r="N6" s="13">
        <f>Table1[[#This Row], [n_omp_threads]]*Table1[[#This Row], [n_mpi_procs]]</f>
        <v/>
      </c>
      <c r="O6" s="14">
        <f>Table1[[#This Row], [total_devices]]/Table1[[#This Row], [n_nodes]]</f>
        <v/>
      </c>
      <c r="P6">
        <f>Table1[[#This Row], [n_mpi_procs]]&gt;=Table1[[#This Row], [n_nodes]]</f>
        <v/>
      </c>
    </row>
    <row r="7" ht="19.5" customHeight="1">
      <c r="A7" t="n">
        <v>5</v>
      </c>
      <c r="B7" s="8" t="n">
        <v>10</v>
      </c>
      <c r="C7" s="17" t="inlineStr">
        <is>
          <t>Multi-CPU - HYB</t>
        </is>
      </c>
      <c r="D7" s="18" t="inlineStr">
        <is>
          <t>CPU</t>
        </is>
      </c>
      <c r="E7" s="10" t="inlineStr">
        <is>
          <t>hybrid</t>
        </is>
      </c>
      <c r="F7" s="19" t="n">
        <v>1</v>
      </c>
      <c r="G7" s="11" t="n">
        <v>2</v>
      </c>
      <c r="H7" s="19" t="n">
        <v>4</v>
      </c>
      <c r="I7" s="11" t="n">
        <v>0</v>
      </c>
      <c r="J7" s="12" t="inlineStr">
        <is>
          <t>standard</t>
        </is>
      </c>
      <c r="K7" s="12" t="n">
        <v>2</v>
      </c>
      <c r="L7" s="11" t="n">
        <v>720</v>
      </c>
      <c r="M7" s="13">
        <f>Table1[[#This Row], [n_mpi_procs]]*Table1[[#This Row], [n_omp_threads]]</f>
        <v/>
      </c>
      <c r="N7" s="13">
        <f>Table1[[#This Row], [n_omp_threads]]*Table1[[#This Row], [n_mpi_procs]]</f>
        <v/>
      </c>
      <c r="O7" s="20">
        <f>Table1[[#This Row], [total_devices]]/Table1[[#This Row], [n_nodes]]</f>
        <v/>
      </c>
      <c r="P7">
        <f>Table1[[#This Row], [n_mpi_procs]]&gt;=Table1[[#This Row], [n_nodes]]</f>
        <v/>
      </c>
    </row>
    <row r="8" ht="19.5" customHeight="1">
      <c r="A8" t="n">
        <v>6</v>
      </c>
      <c r="B8" s="8" t="n">
        <v>11</v>
      </c>
      <c r="C8" s="15" t="inlineStr">
        <is>
          <t>Multi-CPU - HYB</t>
        </is>
      </c>
      <c r="D8" s="16" t="inlineStr">
        <is>
          <t>CPU</t>
        </is>
      </c>
      <c r="E8" s="10" t="inlineStr">
        <is>
          <t>hybrid</t>
        </is>
      </c>
      <c r="F8" s="11" t="n">
        <v>1</v>
      </c>
      <c r="G8" s="11" t="n">
        <v>4</v>
      </c>
      <c r="H8" s="11" t="n">
        <v>2</v>
      </c>
      <c r="I8" s="11" t="n">
        <v>0</v>
      </c>
      <c r="J8" s="12" t="inlineStr">
        <is>
          <t>standard</t>
        </is>
      </c>
      <c r="K8" s="12" t="n">
        <v>2</v>
      </c>
      <c r="L8" s="11" t="n">
        <v>720</v>
      </c>
      <c r="M8" s="13">
        <f>Table1[[#This Row], [n_mpi_procs]]*Table1[[#This Row], [n_omp_threads]]</f>
        <v/>
      </c>
      <c r="N8" s="13">
        <f>Table1[[#This Row], [n_omp_threads]]*Table1[[#This Row], [n_mpi_procs]]</f>
        <v/>
      </c>
      <c r="O8" s="20">
        <f>Table1[[#This Row], [total_devices]]/Table1[[#This Row], [n_nodes]]</f>
        <v/>
      </c>
      <c r="P8">
        <f>Table1[[#This Row], [n_mpi_procs]]&gt;=Table1[[#This Row], [n_nodes]]</f>
        <v/>
      </c>
    </row>
    <row r="9" ht="19.5" customHeight="1">
      <c r="A9" t="n">
        <v>7</v>
      </c>
      <c r="B9" s="8" t="n">
        <v>12</v>
      </c>
      <c r="C9" s="15" t="inlineStr">
        <is>
          <t>Multi-CPU - HYB</t>
        </is>
      </c>
      <c r="D9" s="16" t="inlineStr">
        <is>
          <t>CPU</t>
        </is>
      </c>
      <c r="E9" s="10" t="inlineStr">
        <is>
          <t>hybrid</t>
        </is>
      </c>
      <c r="F9" s="11" t="n">
        <v>1</v>
      </c>
      <c r="G9" s="11" t="n">
        <v>4</v>
      </c>
      <c r="H9" s="11" t="n">
        <v>4</v>
      </c>
      <c r="I9" s="11" t="n">
        <v>0</v>
      </c>
      <c r="J9" s="12" t="inlineStr">
        <is>
          <t>standard</t>
        </is>
      </c>
      <c r="K9" s="12" t="n">
        <v>2</v>
      </c>
      <c r="L9" s="11" t="n">
        <v>720</v>
      </c>
      <c r="M9" s="13">
        <f>Table1[[#This Row], [n_mpi_procs]]*Table1[[#This Row], [n_omp_threads]]</f>
        <v/>
      </c>
      <c r="N9" s="13">
        <f>Table1[[#This Row], [n_omp_threads]]*Table1[[#This Row], [n_mpi_procs]]</f>
        <v/>
      </c>
      <c r="O9" s="20">
        <f>Table1[[#This Row], [total_devices]]/Table1[[#This Row], [n_nodes]]</f>
        <v/>
      </c>
      <c r="P9">
        <f>Table1[[#This Row], [n_mpi_procs]]&gt;=Table1[[#This Row], [n_nodes]]</f>
        <v/>
      </c>
    </row>
    <row r="10" ht="19.5" customHeight="1">
      <c r="A10" t="n">
        <v>8</v>
      </c>
      <c r="B10" s="8" t="n">
        <v>13</v>
      </c>
      <c r="C10" s="15" t="inlineStr">
        <is>
          <t>Multi-CPU - HYB</t>
        </is>
      </c>
      <c r="D10" s="16" t="inlineStr">
        <is>
          <t>CPU</t>
        </is>
      </c>
      <c r="E10" s="10" t="inlineStr">
        <is>
          <t>hybrid</t>
        </is>
      </c>
      <c r="F10" s="11" t="n">
        <v>1</v>
      </c>
      <c r="G10" s="11" t="n">
        <v>2</v>
      </c>
      <c r="H10" s="11" t="n">
        <v>8</v>
      </c>
      <c r="I10" s="11" t="n">
        <v>0</v>
      </c>
      <c r="J10" s="12" t="inlineStr">
        <is>
          <t>standard</t>
        </is>
      </c>
      <c r="K10" s="12" t="n">
        <v>2</v>
      </c>
      <c r="L10" s="11" t="n">
        <v>720</v>
      </c>
      <c r="M10" s="13">
        <f>Table1[[#This Row], [n_mpi_procs]]*Table1[[#This Row], [n_omp_threads]]</f>
        <v/>
      </c>
      <c r="N10" s="13">
        <f>Table1[[#This Row], [n_omp_threads]]*Table1[[#This Row], [n_mpi_procs]]</f>
        <v/>
      </c>
      <c r="O10" s="20">
        <f>Table1[[#This Row], [total_devices]]/Table1[[#This Row], [n_nodes]]</f>
        <v/>
      </c>
      <c r="P10">
        <f>Table1[[#This Row], [n_mpi_procs]]&gt;=Table1[[#This Row], [n_nodes]]</f>
        <v/>
      </c>
    </row>
    <row r="11" ht="19.5" customHeight="1">
      <c r="A11" t="n">
        <v>9</v>
      </c>
      <c r="B11" s="8" t="n">
        <v>14</v>
      </c>
      <c r="C11" s="15" t="inlineStr">
        <is>
          <t>Multi-CPU - HYB</t>
        </is>
      </c>
      <c r="D11" s="16" t="inlineStr">
        <is>
          <t>CPU</t>
        </is>
      </c>
      <c r="E11" s="10" t="inlineStr">
        <is>
          <t>hybrid</t>
        </is>
      </c>
      <c r="F11" s="11" t="n">
        <v>1</v>
      </c>
      <c r="G11" s="11" t="n">
        <v>8</v>
      </c>
      <c r="H11" s="11" t="n">
        <v>2</v>
      </c>
      <c r="I11" s="11" t="n">
        <v>0</v>
      </c>
      <c r="J11" s="12" t="inlineStr">
        <is>
          <t>standard</t>
        </is>
      </c>
      <c r="K11" s="12" t="n">
        <v>2</v>
      </c>
      <c r="L11" s="11" t="n">
        <v>720</v>
      </c>
      <c r="M11" s="13">
        <f>Table1[[#This Row], [n_mpi_procs]]*Table1[[#This Row], [n_omp_threads]]</f>
        <v/>
      </c>
      <c r="N11" s="13">
        <f>Table1[[#This Row], [n_omp_threads]]*Table1[[#This Row], [n_mpi_procs]]</f>
        <v/>
      </c>
      <c r="O11" s="20">
        <f>Table1[[#This Row], [total_devices]]/Table1[[#This Row], [n_nodes]]</f>
        <v/>
      </c>
      <c r="P11">
        <f>Table1[[#This Row], [n_mpi_procs]]&gt;=Table1[[#This Row], [n_nodes]]</f>
        <v/>
      </c>
    </row>
    <row r="12" ht="19.5" customHeight="1">
      <c r="A12" t="n">
        <v>10</v>
      </c>
      <c r="B12" s="8" t="n">
        <v>15</v>
      </c>
      <c r="C12" s="15" t="inlineStr">
        <is>
          <t>Multi-CPU - HYB</t>
        </is>
      </c>
      <c r="D12" s="16" t="inlineStr">
        <is>
          <t>CPU</t>
        </is>
      </c>
      <c r="E12" s="10" t="inlineStr">
        <is>
          <t>hybrid</t>
        </is>
      </c>
      <c r="F12" s="11" t="n">
        <v>1</v>
      </c>
      <c r="G12" s="11" t="n">
        <v>16</v>
      </c>
      <c r="H12" s="11" t="n">
        <v>2</v>
      </c>
      <c r="I12" s="11" t="n">
        <v>0</v>
      </c>
      <c r="J12" s="12" t="inlineStr">
        <is>
          <t>standard</t>
        </is>
      </c>
      <c r="K12" s="12" t="n">
        <v>2</v>
      </c>
      <c r="L12" s="11" t="n">
        <v>720</v>
      </c>
      <c r="M12" s="13">
        <f>Table1[[#This Row], [n_mpi_procs]]*Table1[[#This Row], [n_omp_threads]]</f>
        <v/>
      </c>
      <c r="N12" s="13">
        <f>Table1[[#This Row], [n_omp_threads]]*Table1[[#This Row], [n_mpi_procs]]</f>
        <v/>
      </c>
      <c r="O12" s="20">
        <f>Table1[[#This Row], [total_devices]]/Table1[[#This Row], [n_nodes]]</f>
        <v/>
      </c>
      <c r="P12">
        <f>Table1[[#This Row], [n_mpi_procs]]&gt;=Table1[[#This Row], [n_nodes]]</f>
        <v/>
      </c>
    </row>
    <row r="13" ht="19.5" customHeight="1">
      <c r="A13" t="n">
        <v>11</v>
      </c>
      <c r="B13" s="8" t="n">
        <v>16</v>
      </c>
      <c r="C13" s="15" t="inlineStr">
        <is>
          <t>Multi-CPU - HYB</t>
        </is>
      </c>
      <c r="D13" s="16" t="inlineStr">
        <is>
          <t>CPU</t>
        </is>
      </c>
      <c r="E13" s="10" t="inlineStr">
        <is>
          <t>hybrid</t>
        </is>
      </c>
      <c r="F13" s="11" t="n">
        <v>1</v>
      </c>
      <c r="G13" s="11" t="n">
        <v>2</v>
      </c>
      <c r="H13" s="11" t="n">
        <v>16</v>
      </c>
      <c r="I13" s="11" t="n">
        <v>0</v>
      </c>
      <c r="J13" s="12" t="inlineStr">
        <is>
          <t>standard</t>
        </is>
      </c>
      <c r="K13" s="12" t="n">
        <v>2</v>
      </c>
      <c r="L13" s="11" t="n">
        <v>720</v>
      </c>
      <c r="M13" s="13">
        <f>Table1[[#This Row], [n_mpi_procs]]*Table1[[#This Row], [n_omp_threads]]</f>
        <v/>
      </c>
      <c r="N13" s="13">
        <f>Table1[[#This Row], [n_omp_threads]]*Table1[[#This Row], [n_mpi_procs]]</f>
        <v/>
      </c>
      <c r="O13" s="20">
        <f>Table1[[#This Row], [total_devices]]/Table1[[#This Row], [n_nodes]]</f>
        <v/>
      </c>
      <c r="P13">
        <f>Table1[[#This Row], [n_mpi_procs]]&gt;=Table1[[#This Row], [n_nodes]]</f>
        <v/>
      </c>
    </row>
    <row r="14" ht="19.5" customHeight="1">
      <c r="A14" t="n">
        <v>12</v>
      </c>
      <c r="B14" s="8" t="n">
        <v>17</v>
      </c>
      <c r="C14" s="15" t="inlineStr">
        <is>
          <t>Multi-CPU - HYB</t>
        </is>
      </c>
      <c r="D14" s="16" t="inlineStr">
        <is>
          <t>CPU</t>
        </is>
      </c>
      <c r="E14" s="10" t="inlineStr">
        <is>
          <t>hybrid</t>
        </is>
      </c>
      <c r="F14" s="11" t="n">
        <v>1</v>
      </c>
      <c r="G14" s="11" t="n">
        <v>4</v>
      </c>
      <c r="H14" s="11" t="n">
        <v>8</v>
      </c>
      <c r="I14" s="11" t="n">
        <v>0</v>
      </c>
      <c r="J14" s="12" t="inlineStr">
        <is>
          <t>standard</t>
        </is>
      </c>
      <c r="K14" s="12" t="n">
        <v>2</v>
      </c>
      <c r="L14" s="11" t="n">
        <v>720</v>
      </c>
      <c r="M14" s="13">
        <f>Table1[[#This Row], [n_mpi_procs]]*Table1[[#This Row], [n_omp_threads]]</f>
        <v/>
      </c>
      <c r="N14" s="13">
        <f>Table1[[#This Row], [n_omp_threads]]*Table1[[#This Row], [n_mpi_procs]]</f>
        <v/>
      </c>
      <c r="O14" s="20">
        <f>Table1[[#This Row], [total_devices]]/Table1[[#This Row], [n_nodes]]</f>
        <v/>
      </c>
      <c r="P14">
        <f>Table1[[#This Row], [n_mpi_procs]]&gt;=Table1[[#This Row], [n_nodes]]</f>
        <v/>
      </c>
    </row>
    <row r="15" ht="19.5" customHeight="1">
      <c r="A15" t="n">
        <v>13</v>
      </c>
      <c r="B15" s="8" t="n">
        <v>18</v>
      </c>
      <c r="C15" s="15" t="inlineStr">
        <is>
          <t>Multi-CPU - HYB</t>
        </is>
      </c>
      <c r="D15" s="16" t="inlineStr">
        <is>
          <t>CPU</t>
        </is>
      </c>
      <c r="E15" s="10" t="inlineStr">
        <is>
          <t>hybrid</t>
        </is>
      </c>
      <c r="F15" s="11" t="n">
        <v>1</v>
      </c>
      <c r="G15" s="11" t="n">
        <v>8</v>
      </c>
      <c r="H15" s="11" t="n">
        <v>4</v>
      </c>
      <c r="I15" s="11" t="n">
        <v>0</v>
      </c>
      <c r="J15" s="12" t="inlineStr">
        <is>
          <t>standard</t>
        </is>
      </c>
      <c r="K15" s="12" t="n">
        <v>2</v>
      </c>
      <c r="L15" s="11" t="n">
        <v>720</v>
      </c>
      <c r="M15" s="13">
        <f>Table1[[#This Row], [n_mpi_procs]]*Table1[[#This Row], [n_omp_threads]]</f>
        <v/>
      </c>
      <c r="N15" s="13">
        <f>Table1[[#This Row], [n_omp_threads]]*Table1[[#This Row], [n_mpi_procs]]</f>
        <v/>
      </c>
      <c r="O15" s="20">
        <f>Table1[[#This Row], [total_devices]]/Table1[[#This Row], [n_nodes]]</f>
        <v/>
      </c>
      <c r="P15">
        <f>Table1[[#This Row], [n_mpi_procs]]&gt;=Table1[[#This Row], [n_nodes]]</f>
        <v/>
      </c>
    </row>
    <row r="16" ht="19.5" customHeight="1">
      <c r="A16" t="n">
        <v>14</v>
      </c>
      <c r="B16" s="8" t="n">
        <v>19</v>
      </c>
      <c r="C16" s="15" t="inlineStr">
        <is>
          <t>Multi-CPU - HYB</t>
        </is>
      </c>
      <c r="D16" s="16" t="inlineStr">
        <is>
          <t>CPU</t>
        </is>
      </c>
      <c r="E16" s="10" t="inlineStr">
        <is>
          <t>hybrid</t>
        </is>
      </c>
      <c r="F16" s="11" t="n">
        <v>1</v>
      </c>
      <c r="G16" s="11" t="n">
        <v>2</v>
      </c>
      <c r="H16" s="11" t="n">
        <v>32</v>
      </c>
      <c r="I16" s="11" t="n">
        <v>0</v>
      </c>
      <c r="J16" s="12" t="inlineStr">
        <is>
          <t>standard</t>
        </is>
      </c>
      <c r="K16" s="12" t="n">
        <v>2</v>
      </c>
      <c r="L16" s="11" t="n">
        <v>720</v>
      </c>
      <c r="M16" s="13">
        <f>Table1[[#This Row], [n_mpi_procs]]*Table1[[#This Row], [n_omp_threads]]</f>
        <v/>
      </c>
      <c r="N16" s="13">
        <f>Table1[[#This Row], [n_omp_threads]]*Table1[[#This Row], [n_mpi_procs]]</f>
        <v/>
      </c>
      <c r="O16" s="20">
        <f>Table1[[#This Row], [total_devices]]/Table1[[#This Row], [n_nodes]]</f>
        <v/>
      </c>
      <c r="P16">
        <f>Table1[[#This Row], [n_mpi_procs]]&gt;=Table1[[#This Row], [n_nodes]]</f>
        <v/>
      </c>
    </row>
    <row r="17" ht="19.5" customHeight="1">
      <c r="A17" t="n">
        <v>15</v>
      </c>
      <c r="B17" s="8" t="n">
        <v>20</v>
      </c>
      <c r="C17" s="15" t="inlineStr">
        <is>
          <t>Multi-CPU - HYB</t>
        </is>
      </c>
      <c r="D17" s="16" t="inlineStr">
        <is>
          <t>CPU</t>
        </is>
      </c>
      <c r="E17" s="10" t="inlineStr">
        <is>
          <t>hybrid</t>
        </is>
      </c>
      <c r="F17" s="11" t="n">
        <v>1</v>
      </c>
      <c r="G17" s="11" t="n">
        <v>32</v>
      </c>
      <c r="H17" s="11" t="n">
        <v>2</v>
      </c>
      <c r="I17" s="11" t="n">
        <v>0</v>
      </c>
      <c r="J17" s="12" t="inlineStr">
        <is>
          <t>standard</t>
        </is>
      </c>
      <c r="K17" s="12" t="n">
        <v>2</v>
      </c>
      <c r="L17" s="11" t="n">
        <v>720</v>
      </c>
      <c r="M17" s="13">
        <f>Table1[[#This Row], [n_mpi_procs]]*Table1[[#This Row], [n_omp_threads]]</f>
        <v/>
      </c>
      <c r="N17" s="13">
        <f>Table1[[#This Row], [n_omp_threads]]*Table1[[#This Row], [n_mpi_procs]]</f>
        <v/>
      </c>
      <c r="O17" s="20">
        <f>Table1[[#This Row], [total_devices]]/Table1[[#This Row], [n_nodes]]</f>
        <v/>
      </c>
      <c r="P17">
        <f>Table1[[#This Row], [n_mpi_procs]]&gt;=Table1[[#This Row], [n_nodes]]</f>
        <v/>
      </c>
    </row>
    <row r="18" ht="19.5" customHeight="1">
      <c r="A18" t="n">
        <v>16</v>
      </c>
      <c r="B18" s="8" t="n">
        <v>21</v>
      </c>
      <c r="C18" s="15" t="inlineStr">
        <is>
          <t>Multi-CPU - HYB</t>
        </is>
      </c>
      <c r="D18" s="16" t="inlineStr">
        <is>
          <t>CPU</t>
        </is>
      </c>
      <c r="E18" s="10" t="inlineStr">
        <is>
          <t>hybrid</t>
        </is>
      </c>
      <c r="F18" s="11" t="n">
        <v>1</v>
      </c>
      <c r="G18" s="11" t="n">
        <v>4</v>
      </c>
      <c r="H18" s="11" t="n">
        <v>16</v>
      </c>
      <c r="I18" s="11" t="n">
        <v>0</v>
      </c>
      <c r="J18" s="12" t="inlineStr">
        <is>
          <t>standard</t>
        </is>
      </c>
      <c r="K18" s="12" t="n">
        <v>2</v>
      </c>
      <c r="L18" s="11" t="n">
        <v>720</v>
      </c>
      <c r="M18" s="13">
        <f>Table1[[#This Row], [n_mpi_procs]]*Table1[[#This Row], [n_omp_threads]]</f>
        <v/>
      </c>
      <c r="N18" s="13">
        <f>Table1[[#This Row], [n_omp_threads]]*Table1[[#This Row], [n_mpi_procs]]</f>
        <v/>
      </c>
      <c r="O18" s="20">
        <f>Table1[[#This Row], [total_devices]]/Table1[[#This Row], [n_nodes]]</f>
        <v/>
      </c>
      <c r="P18">
        <f>Table1[[#This Row], [n_mpi_procs]]&gt;=Table1[[#This Row], [n_nodes]]</f>
        <v/>
      </c>
    </row>
    <row r="19" ht="19.5" customHeight="1">
      <c r="A19" t="n">
        <v>17</v>
      </c>
      <c r="B19" s="8" t="n">
        <v>22</v>
      </c>
      <c r="C19" s="15" t="inlineStr">
        <is>
          <t>Multi-CPU - HYB</t>
        </is>
      </c>
      <c r="D19" s="16" t="inlineStr">
        <is>
          <t>CPU</t>
        </is>
      </c>
      <c r="E19" s="10" t="inlineStr">
        <is>
          <t>hybrid</t>
        </is>
      </c>
      <c r="F19" s="11" t="n">
        <v>1</v>
      </c>
      <c r="G19" s="11" t="n">
        <v>16</v>
      </c>
      <c r="H19" s="11" t="n">
        <v>4</v>
      </c>
      <c r="I19" s="11" t="n">
        <v>0</v>
      </c>
      <c r="J19" s="12" t="inlineStr">
        <is>
          <t>standard</t>
        </is>
      </c>
      <c r="K19" s="12" t="n">
        <v>2</v>
      </c>
      <c r="L19" s="11" t="n">
        <v>720</v>
      </c>
      <c r="M19" s="13">
        <f>Table1[[#This Row], [n_mpi_procs]]*Table1[[#This Row], [n_omp_threads]]</f>
        <v/>
      </c>
      <c r="N19" s="13">
        <f>Table1[[#This Row], [n_omp_threads]]*Table1[[#This Row], [n_mpi_procs]]</f>
        <v/>
      </c>
      <c r="O19" s="20">
        <f>Table1[[#This Row], [total_devices]]/Table1[[#This Row], [n_nodes]]</f>
        <v/>
      </c>
      <c r="P19">
        <f>Table1[[#This Row], [n_mpi_procs]]&gt;=Table1[[#This Row], [n_nodes]]</f>
        <v/>
      </c>
    </row>
    <row r="20" ht="19.5" customHeight="1">
      <c r="A20" t="n">
        <v>18</v>
      </c>
      <c r="B20" s="8" t="n">
        <v>23</v>
      </c>
      <c r="C20" s="15" t="inlineStr">
        <is>
          <t>Multi-CPU - HYB</t>
        </is>
      </c>
      <c r="D20" s="16" t="inlineStr">
        <is>
          <t>CPU</t>
        </is>
      </c>
      <c r="E20" s="10" t="inlineStr">
        <is>
          <t>hybrid</t>
        </is>
      </c>
      <c r="F20" s="11" t="n">
        <v>1</v>
      </c>
      <c r="G20" s="11" t="n">
        <v>8</v>
      </c>
      <c r="H20" s="11" t="n">
        <v>8</v>
      </c>
      <c r="I20" s="11" t="n">
        <v>0</v>
      </c>
      <c r="J20" s="12" t="inlineStr">
        <is>
          <t>standard</t>
        </is>
      </c>
      <c r="K20" s="12" t="n">
        <v>2</v>
      </c>
      <c r="L20" s="11" t="n">
        <v>720</v>
      </c>
      <c r="M20" s="13">
        <f>Table1[[#This Row], [n_mpi_procs]]*Table1[[#This Row], [n_omp_threads]]</f>
        <v/>
      </c>
      <c r="N20" s="13">
        <f>Table1[[#This Row], [n_omp_threads]]*Table1[[#This Row], [n_mpi_procs]]</f>
        <v/>
      </c>
      <c r="O20" s="20">
        <f>Table1[[#This Row], [total_devices]]/Table1[[#This Row], [n_nodes]]</f>
        <v/>
      </c>
      <c r="P20">
        <f>Table1[[#This Row], [n_mpi_procs]]&gt;=Table1[[#This Row], [n_nodes]]</f>
        <v/>
      </c>
    </row>
    <row r="21" ht="19.5" customHeight="1">
      <c r="A21" t="n">
        <v>19</v>
      </c>
      <c r="B21" s="8" t="n">
        <v>24</v>
      </c>
      <c r="C21" s="15" t="inlineStr">
        <is>
          <t>Multi-CPU - HYB</t>
        </is>
      </c>
      <c r="D21" s="16" t="inlineStr">
        <is>
          <t>CPU</t>
        </is>
      </c>
      <c r="E21" s="10" t="inlineStr">
        <is>
          <t>hybrid</t>
        </is>
      </c>
      <c r="F21" s="11" t="n">
        <v>2</v>
      </c>
      <c r="G21" s="11" t="n">
        <v>2</v>
      </c>
      <c r="H21" s="11" t="n">
        <v>64</v>
      </c>
      <c r="I21" s="11" t="n">
        <v>0</v>
      </c>
      <c r="J21" s="12" t="inlineStr">
        <is>
          <t>parallel</t>
        </is>
      </c>
      <c r="K21" s="12" t="n">
        <v>2</v>
      </c>
      <c r="L21" s="11" t="n">
        <v>720</v>
      </c>
      <c r="M21" s="13">
        <f>Table1[[#This Row], [n_mpi_procs]]*Table1[[#This Row], [n_omp_threads]]</f>
        <v/>
      </c>
      <c r="N21" s="13">
        <f>Table1[[#This Row], [n_omp_threads]]*Table1[[#This Row], [n_mpi_procs]]</f>
        <v/>
      </c>
      <c r="O21" s="20">
        <f>Table1[[#This Row], [total_devices]]/Table1[[#This Row], [n_nodes]]</f>
        <v/>
      </c>
      <c r="P21">
        <f>Table1[[#This Row], [n_mpi_procs]]&gt;=Table1[[#This Row], [n_nodes]]</f>
        <v/>
      </c>
    </row>
    <row r="22" ht="19.5" customHeight="1">
      <c r="A22" t="n">
        <v>20</v>
      </c>
      <c r="B22" s="8" t="n">
        <v>25</v>
      </c>
      <c r="C22" s="15" t="inlineStr">
        <is>
          <t>Multi-CPU - HYB</t>
        </is>
      </c>
      <c r="D22" s="16" t="inlineStr">
        <is>
          <t>CPU</t>
        </is>
      </c>
      <c r="E22" s="10" t="inlineStr">
        <is>
          <t>hybrid</t>
        </is>
      </c>
      <c r="F22" s="11" t="n">
        <v>2</v>
      </c>
      <c r="G22" s="11" t="n">
        <v>4</v>
      </c>
      <c r="H22" s="11" t="n">
        <v>32</v>
      </c>
      <c r="I22" s="11" t="n">
        <v>0</v>
      </c>
      <c r="J22" s="12" t="inlineStr">
        <is>
          <t>parallel</t>
        </is>
      </c>
      <c r="K22" s="12" t="n">
        <v>2</v>
      </c>
      <c r="L22" s="11" t="n">
        <v>720</v>
      </c>
      <c r="M22" s="13">
        <f>Table1[[#This Row], [n_mpi_procs]]*Table1[[#This Row], [n_omp_threads]]</f>
        <v/>
      </c>
      <c r="N22" s="13">
        <f>Table1[[#This Row], [n_omp_threads]]*Table1[[#This Row], [n_mpi_procs]]</f>
        <v/>
      </c>
      <c r="O22" s="20">
        <f>Table1[[#This Row], [total_devices]]/Table1[[#This Row], [n_nodes]]</f>
        <v/>
      </c>
      <c r="P22">
        <f>Table1[[#This Row], [n_mpi_procs]]&gt;=Table1[[#This Row], [n_nodes]]</f>
        <v/>
      </c>
    </row>
    <row r="23" ht="19.5" customHeight="1">
      <c r="A23" t="n">
        <v>21</v>
      </c>
      <c r="B23" s="8" t="n">
        <v>26</v>
      </c>
      <c r="C23" s="15" t="inlineStr">
        <is>
          <t>Multi-CPU - HYB</t>
        </is>
      </c>
      <c r="D23" s="16" t="inlineStr">
        <is>
          <t>CPU</t>
        </is>
      </c>
      <c r="E23" s="10" t="inlineStr">
        <is>
          <t>hybrid</t>
        </is>
      </c>
      <c r="F23" s="11" t="n">
        <v>2</v>
      </c>
      <c r="G23" s="11" t="n">
        <v>8</v>
      </c>
      <c r="H23" s="11" t="n">
        <v>16</v>
      </c>
      <c r="I23" s="11" t="n">
        <v>0</v>
      </c>
      <c r="J23" s="12" t="inlineStr">
        <is>
          <t>parallel</t>
        </is>
      </c>
      <c r="K23" s="12" t="n">
        <v>2</v>
      </c>
      <c r="L23" s="11" t="n">
        <v>720</v>
      </c>
      <c r="M23" s="13">
        <f>Table1[[#This Row], [n_mpi_procs]]*Table1[[#This Row], [n_omp_threads]]</f>
        <v/>
      </c>
      <c r="N23" s="13">
        <f>Table1[[#This Row], [n_omp_threads]]*Table1[[#This Row], [n_mpi_procs]]</f>
        <v/>
      </c>
      <c r="O23" s="20">
        <f>Table1[[#This Row], [total_devices]]/Table1[[#This Row], [n_nodes]]</f>
        <v/>
      </c>
      <c r="P23">
        <f>Table1[[#This Row], [n_mpi_procs]]&gt;=Table1[[#This Row], [n_nodes]]</f>
        <v/>
      </c>
    </row>
    <row r="24" ht="19.5" customHeight="1">
      <c r="A24" t="n">
        <v>22</v>
      </c>
      <c r="B24" s="8" t="n">
        <v>27</v>
      </c>
      <c r="C24" s="15" t="inlineStr">
        <is>
          <t>Multi-CPU - HYB</t>
        </is>
      </c>
      <c r="D24" s="16" t="inlineStr">
        <is>
          <t>CPU</t>
        </is>
      </c>
      <c r="E24" s="10" t="inlineStr">
        <is>
          <t>hybrid</t>
        </is>
      </c>
      <c r="F24" s="11" t="n">
        <v>2</v>
      </c>
      <c r="G24" s="11" t="n">
        <v>16</v>
      </c>
      <c r="H24" s="11" t="n">
        <v>8</v>
      </c>
      <c r="I24" s="11" t="n">
        <v>0</v>
      </c>
      <c r="J24" s="12" t="inlineStr">
        <is>
          <t>parallel</t>
        </is>
      </c>
      <c r="K24" s="12" t="n">
        <v>2</v>
      </c>
      <c r="L24" s="11" t="n">
        <v>720</v>
      </c>
      <c r="M24" s="13">
        <f>Table1[[#This Row], [n_mpi_procs]]*Table1[[#This Row], [n_omp_threads]]</f>
        <v/>
      </c>
      <c r="N24" s="13">
        <f>Table1[[#This Row], [n_omp_threads]]*Table1[[#This Row], [n_mpi_procs]]</f>
        <v/>
      </c>
      <c r="O24" s="20">
        <f>Table1[[#This Row], [total_devices]]/Table1[[#This Row], [n_nodes]]</f>
        <v/>
      </c>
      <c r="P24">
        <f>Table1[[#This Row], [n_mpi_procs]]&gt;=Table1[[#This Row], [n_nodes]]</f>
        <v/>
      </c>
    </row>
    <row r="25" ht="19.5" customHeight="1">
      <c r="A25" t="n">
        <v>23</v>
      </c>
      <c r="B25" s="8" t="n">
        <v>28</v>
      </c>
      <c r="C25" s="15" t="inlineStr">
        <is>
          <t>Multi-CPU - HYB</t>
        </is>
      </c>
      <c r="D25" s="16" t="inlineStr">
        <is>
          <t>CPU</t>
        </is>
      </c>
      <c r="E25" s="10" t="inlineStr">
        <is>
          <t>hybrid</t>
        </is>
      </c>
      <c r="F25" s="11" t="n">
        <v>2</v>
      </c>
      <c r="G25" s="11" t="n">
        <v>32</v>
      </c>
      <c r="H25" s="11" t="n">
        <v>4</v>
      </c>
      <c r="I25" s="11" t="n">
        <v>0</v>
      </c>
      <c r="J25" s="12" t="inlineStr">
        <is>
          <t>parallel</t>
        </is>
      </c>
      <c r="K25" s="12" t="n">
        <v>2</v>
      </c>
      <c r="L25" s="11" t="n">
        <v>720</v>
      </c>
      <c r="M25" s="13">
        <f>Table1[[#This Row], [n_mpi_procs]]*Table1[[#This Row], [n_omp_threads]]</f>
        <v/>
      </c>
      <c r="N25" s="13">
        <f>Table1[[#This Row], [n_omp_threads]]*Table1[[#This Row], [n_mpi_procs]]</f>
        <v/>
      </c>
      <c r="O25" s="20">
        <f>Table1[[#This Row], [total_devices]]/Table1[[#This Row], [n_nodes]]</f>
        <v/>
      </c>
      <c r="P25">
        <f>Table1[[#This Row], [n_mpi_procs]]&gt;=Table1[[#This Row], [n_nodes]]</f>
        <v/>
      </c>
    </row>
    <row r="26" ht="18.75" customHeight="1">
      <c r="A26" t="n">
        <v>24</v>
      </c>
      <c r="B26" s="8" t="n">
        <v>29</v>
      </c>
      <c r="C26" s="15" t="inlineStr">
        <is>
          <t>Multi-CPU - HYB</t>
        </is>
      </c>
      <c r="D26" s="16" t="inlineStr">
        <is>
          <t>CPU</t>
        </is>
      </c>
      <c r="E26" s="10" t="inlineStr">
        <is>
          <t>hybrid</t>
        </is>
      </c>
      <c r="F26" s="11" t="n">
        <v>2</v>
      </c>
      <c r="G26" s="11" t="n">
        <v>64</v>
      </c>
      <c r="H26" s="11" t="n">
        <v>2</v>
      </c>
      <c r="I26" s="11" t="n">
        <v>0</v>
      </c>
      <c r="J26" s="12" t="inlineStr">
        <is>
          <t>parallel</t>
        </is>
      </c>
      <c r="K26" s="12" t="n">
        <v>2</v>
      </c>
      <c r="L26" s="11" t="n">
        <v>720</v>
      </c>
      <c r="M26" s="13">
        <f>Table1[[#This Row], [n_mpi_procs]]*Table1[[#This Row], [n_omp_threads]]</f>
        <v/>
      </c>
      <c r="N26" s="13">
        <f>Table1[[#This Row], [n_omp_threads]]*Table1[[#This Row], [n_mpi_procs]]</f>
        <v/>
      </c>
      <c r="O26" s="20">
        <f>Table1[[#This Row], [total_devices]]/Table1[[#This Row], [n_nodes]]</f>
        <v/>
      </c>
      <c r="P26">
        <f>Table1[[#This Row], [n_mpi_procs]]&gt;=Table1[[#This Row], [n_nodes]]</f>
        <v/>
      </c>
    </row>
    <row r="27" ht="18.75" customHeight="1">
      <c r="A27" t="n">
        <v>25</v>
      </c>
      <c r="B27" s="8" t="n">
        <v>30</v>
      </c>
      <c r="C27" s="15" t="inlineStr">
        <is>
          <t>Multi-CPU - MPI</t>
        </is>
      </c>
      <c r="D27" s="16" t="inlineStr">
        <is>
          <t>CPU</t>
        </is>
      </c>
      <c r="E27" s="10" t="inlineStr">
        <is>
          <t>mpi</t>
        </is>
      </c>
      <c r="F27" s="11" t="n">
        <v>1</v>
      </c>
      <c r="G27" s="11" t="n">
        <v>2</v>
      </c>
      <c r="H27" s="11" t="n">
        <v>1</v>
      </c>
      <c r="I27" s="11" t="n">
        <v>0</v>
      </c>
      <c r="J27" s="12" t="inlineStr">
        <is>
          <t>standard</t>
        </is>
      </c>
      <c r="K27" s="12" t="n">
        <v>2</v>
      </c>
      <c r="L27" s="11" t="n">
        <v>720</v>
      </c>
      <c r="M27" s="13">
        <f>Table1[[#This Row], [n_mpi_procs]]*Table1[[#This Row], [n_omp_threads]]</f>
        <v/>
      </c>
      <c r="N27" s="13">
        <f>Table1[[#This Row], [n_omp_threads]]*Table1[[#This Row], [n_mpi_procs]]</f>
        <v/>
      </c>
      <c r="O27" s="20">
        <f>Table1[[#This Row], [total_devices]]/Table1[[#This Row], [n_nodes]]</f>
        <v/>
      </c>
      <c r="P27">
        <f>Table1[[#This Row], [n_mpi_procs]]&gt;=Table1[[#This Row], [n_nodes]]</f>
        <v/>
      </c>
    </row>
    <row r="28" ht="18.75" customHeight="1">
      <c r="A28" t="n">
        <v>26</v>
      </c>
      <c r="B28" s="8" t="n">
        <v>31</v>
      </c>
      <c r="C28" s="15" t="inlineStr">
        <is>
          <t>Multi-CPU - MPI</t>
        </is>
      </c>
      <c r="D28" s="16" t="inlineStr">
        <is>
          <t>CPU</t>
        </is>
      </c>
      <c r="E28" s="10" t="inlineStr">
        <is>
          <t>mpi</t>
        </is>
      </c>
      <c r="F28" s="11" t="n">
        <v>1</v>
      </c>
      <c r="G28" s="11" t="n">
        <v>4</v>
      </c>
      <c r="H28" s="11" t="n">
        <v>1</v>
      </c>
      <c r="I28" s="11" t="n">
        <v>0</v>
      </c>
      <c r="J28" s="12" t="inlineStr">
        <is>
          <t>standard</t>
        </is>
      </c>
      <c r="K28" s="12" t="n">
        <v>2</v>
      </c>
      <c r="L28" s="11" t="n">
        <v>720</v>
      </c>
      <c r="M28" s="13">
        <f>Table1[[#This Row], [n_mpi_procs]]*Table1[[#This Row], [n_omp_threads]]</f>
        <v/>
      </c>
      <c r="N28" s="13">
        <f>Table1[[#This Row], [n_omp_threads]]*Table1[[#This Row], [n_mpi_procs]]</f>
        <v/>
      </c>
      <c r="O28" s="20">
        <f>Table1[[#This Row], [total_devices]]/Table1[[#This Row], [n_nodes]]</f>
        <v/>
      </c>
      <c r="P28">
        <f>Table1[[#This Row], [n_mpi_procs]]&gt;=Table1[[#This Row], [n_nodes]]</f>
        <v/>
      </c>
    </row>
    <row r="29" ht="18.75" customHeight="1">
      <c r="A29" t="n">
        <v>27</v>
      </c>
      <c r="B29" s="8" t="n">
        <v>32</v>
      </c>
      <c r="C29" s="15" t="inlineStr">
        <is>
          <t>Multi-CPU - MPI</t>
        </is>
      </c>
      <c r="D29" s="16" t="inlineStr">
        <is>
          <t>CPU</t>
        </is>
      </c>
      <c r="E29" s="10" t="inlineStr">
        <is>
          <t>mpi</t>
        </is>
      </c>
      <c r="F29" s="11" t="n">
        <v>1</v>
      </c>
      <c r="G29" s="11" t="n">
        <v>8</v>
      </c>
      <c r="H29" s="11" t="n">
        <v>1</v>
      </c>
      <c r="I29" s="11" t="n">
        <v>0</v>
      </c>
      <c r="J29" s="12" t="inlineStr">
        <is>
          <t>standard</t>
        </is>
      </c>
      <c r="K29" s="12" t="n">
        <v>2</v>
      </c>
      <c r="L29" s="11" t="n">
        <v>720</v>
      </c>
      <c r="M29" s="13">
        <f>Table1[[#This Row], [n_mpi_procs]]*Table1[[#This Row], [n_omp_threads]]</f>
        <v/>
      </c>
      <c r="N29" s="13">
        <f>Table1[[#This Row], [n_omp_threads]]*Table1[[#This Row], [n_mpi_procs]]</f>
        <v/>
      </c>
      <c r="O29" s="20">
        <f>Table1[[#This Row], [total_devices]]/Table1[[#This Row], [n_nodes]]</f>
        <v/>
      </c>
      <c r="P29">
        <f>Table1[[#This Row], [n_mpi_procs]]&gt;=Table1[[#This Row], [n_nodes]]</f>
        <v/>
      </c>
    </row>
    <row r="30" ht="18.75" customHeight="1">
      <c r="A30" t="n">
        <v>28</v>
      </c>
      <c r="B30" s="8" t="n">
        <v>33</v>
      </c>
      <c r="C30" s="15" t="inlineStr">
        <is>
          <t>Multi-CPU - MPI</t>
        </is>
      </c>
      <c r="D30" s="16" t="inlineStr">
        <is>
          <t>CPU</t>
        </is>
      </c>
      <c r="E30" s="10" t="inlineStr">
        <is>
          <t>mpi</t>
        </is>
      </c>
      <c r="F30" s="11" t="n">
        <v>1</v>
      </c>
      <c r="G30" s="11" t="n">
        <v>16</v>
      </c>
      <c r="H30" s="11" t="n">
        <v>1</v>
      </c>
      <c r="I30" s="11" t="n">
        <v>0</v>
      </c>
      <c r="J30" s="12" t="inlineStr">
        <is>
          <t>standard</t>
        </is>
      </c>
      <c r="K30" s="12" t="n">
        <v>2</v>
      </c>
      <c r="L30" s="11" t="n">
        <v>720</v>
      </c>
      <c r="M30" s="13">
        <f>Table1[[#This Row], [n_mpi_procs]]*Table1[[#This Row], [n_omp_threads]]</f>
        <v/>
      </c>
      <c r="N30" s="13">
        <f>Table1[[#This Row], [n_omp_threads]]*Table1[[#This Row], [n_mpi_procs]]</f>
        <v/>
      </c>
      <c r="O30" s="20">
        <f>Table1[[#This Row], [total_devices]]/Table1[[#This Row], [n_nodes]]</f>
        <v/>
      </c>
      <c r="P30">
        <f>Table1[[#This Row], [n_mpi_procs]]&gt;=Table1[[#This Row], [n_nodes]]</f>
        <v/>
      </c>
    </row>
    <row r="31" ht="18.75" customHeight="1">
      <c r="A31" t="n">
        <v>29</v>
      </c>
      <c r="B31" s="8" t="n">
        <v>34</v>
      </c>
      <c r="C31" s="15" t="inlineStr">
        <is>
          <t>Multi-CPU - OMP</t>
        </is>
      </c>
      <c r="D31" s="16" t="inlineStr">
        <is>
          <t>CPU</t>
        </is>
      </c>
      <c r="E31" s="10" t="inlineStr">
        <is>
          <t>openmp</t>
        </is>
      </c>
      <c r="F31" s="11" t="n">
        <v>1</v>
      </c>
      <c r="G31" s="11" t="n">
        <v>1</v>
      </c>
      <c r="H31" s="11" t="n">
        <v>2</v>
      </c>
      <c r="I31" s="11" t="n">
        <v>0</v>
      </c>
      <c r="J31" s="12" t="inlineStr">
        <is>
          <t>standard</t>
        </is>
      </c>
      <c r="K31" s="12" t="n">
        <v>2</v>
      </c>
      <c r="L31" s="11" t="n">
        <v>720</v>
      </c>
      <c r="M31" s="13">
        <f>Table1[[#This Row], [n_mpi_procs]]*Table1[[#This Row], [n_omp_threads]]</f>
        <v/>
      </c>
      <c r="N31" s="13">
        <f>Table1[[#This Row], [n_omp_threads]]*Table1[[#This Row], [n_mpi_procs]]</f>
        <v/>
      </c>
      <c r="O31" s="20">
        <f>Table1[[#This Row], [total_devices]]/Table1[[#This Row], [n_nodes]]</f>
        <v/>
      </c>
      <c r="P31">
        <f>Table1[[#This Row], [n_mpi_procs]]&gt;=Table1[[#This Row], [n_nodes]]</f>
        <v/>
      </c>
    </row>
    <row r="32" ht="18.75" customHeight="1">
      <c r="A32" t="n">
        <v>30</v>
      </c>
      <c r="B32" s="8" t="n">
        <v>35</v>
      </c>
      <c r="C32" s="15" t="inlineStr">
        <is>
          <t>Multi-CPU - OMP</t>
        </is>
      </c>
      <c r="D32" s="16" t="inlineStr">
        <is>
          <t>CPU</t>
        </is>
      </c>
      <c r="E32" s="10" t="inlineStr">
        <is>
          <t>openmp</t>
        </is>
      </c>
      <c r="F32" s="11" t="n">
        <v>1</v>
      </c>
      <c r="G32" s="11" t="n">
        <v>1</v>
      </c>
      <c r="H32" s="11" t="n">
        <v>4</v>
      </c>
      <c r="I32" s="11" t="n">
        <v>0</v>
      </c>
      <c r="J32" s="12" t="inlineStr">
        <is>
          <t>standard</t>
        </is>
      </c>
      <c r="K32" s="12" t="n">
        <v>2</v>
      </c>
      <c r="L32" s="11" t="n">
        <v>720</v>
      </c>
      <c r="M32" s="13">
        <f>Table1[[#This Row], [n_mpi_procs]]*Table1[[#This Row], [n_omp_threads]]</f>
        <v/>
      </c>
      <c r="N32" s="13">
        <f>Table1[[#This Row], [n_omp_threads]]*Table1[[#This Row], [n_mpi_procs]]</f>
        <v/>
      </c>
      <c r="O32" s="20">
        <f>Table1[[#This Row], [total_devices]]/Table1[[#This Row], [n_nodes]]</f>
        <v/>
      </c>
      <c r="P32">
        <f>Table1[[#This Row], [n_mpi_procs]]&gt;=Table1[[#This Row], [n_nodes]]</f>
        <v/>
      </c>
    </row>
    <row r="33" ht="18.75" customHeight="1">
      <c r="A33" t="n">
        <v>31</v>
      </c>
      <c r="B33" s="8" t="n">
        <v>36</v>
      </c>
      <c r="C33" s="15" t="inlineStr">
        <is>
          <t>Multi-CPU - OMP</t>
        </is>
      </c>
      <c r="D33" s="16" t="inlineStr">
        <is>
          <t>CPU</t>
        </is>
      </c>
      <c r="E33" s="10" t="inlineStr">
        <is>
          <t>openmp</t>
        </is>
      </c>
      <c r="F33" s="11" t="n">
        <v>1</v>
      </c>
      <c r="G33" s="11" t="n">
        <v>1</v>
      </c>
      <c r="H33" s="11" t="n">
        <v>8</v>
      </c>
      <c r="I33" s="11" t="n">
        <v>0</v>
      </c>
      <c r="J33" s="12" t="inlineStr">
        <is>
          <t>standard</t>
        </is>
      </c>
      <c r="K33" s="12" t="n">
        <v>2</v>
      </c>
      <c r="L33" s="11" t="n">
        <v>720</v>
      </c>
      <c r="M33" s="13">
        <f>Table1[[#This Row], [n_mpi_procs]]*Table1[[#This Row], [n_omp_threads]]</f>
        <v/>
      </c>
      <c r="N33" s="13">
        <f>Table1[[#This Row], [n_omp_threads]]*Table1[[#This Row], [n_mpi_procs]]</f>
        <v/>
      </c>
      <c r="O33" s="20">
        <f>Table1[[#This Row], [total_devices]]/Table1[[#This Row], [n_nodes]]</f>
        <v/>
      </c>
      <c r="P33">
        <f>Table1[[#This Row], [n_mpi_procs]]&gt;=Table1[[#This Row], [n_nodes]]</f>
        <v/>
      </c>
    </row>
    <row r="34" ht="18.75" customHeight="1">
      <c r="A34" t="n">
        <v>32</v>
      </c>
      <c r="B34" s="8" t="n">
        <v>37</v>
      </c>
      <c r="C34" s="15" t="inlineStr">
        <is>
          <t>Multi-CPU - OMP</t>
        </is>
      </c>
      <c r="D34" s="16" t="inlineStr">
        <is>
          <t>CPU</t>
        </is>
      </c>
      <c r="E34" s="10" t="inlineStr">
        <is>
          <t>openmp</t>
        </is>
      </c>
      <c r="F34" s="11" t="n">
        <v>1</v>
      </c>
      <c r="G34" s="11" t="n">
        <v>1</v>
      </c>
      <c r="H34" s="11" t="n">
        <v>16</v>
      </c>
      <c r="I34" s="11" t="n">
        <v>0</v>
      </c>
      <c r="J34" s="12" t="inlineStr">
        <is>
          <t>standard</t>
        </is>
      </c>
      <c r="K34" s="12" t="n">
        <v>2</v>
      </c>
      <c r="L34" s="11" t="n">
        <v>720</v>
      </c>
      <c r="M34" s="13">
        <f>Table1[[#This Row], [n_mpi_procs]]*Table1[[#This Row], [n_omp_threads]]</f>
        <v/>
      </c>
      <c r="N34" s="13">
        <f>Table1[[#This Row], [n_omp_threads]]*Table1[[#This Row], [n_mpi_procs]]</f>
        <v/>
      </c>
      <c r="O34" s="20">
        <f>Table1[[#This Row], [total_devices]]/Table1[[#This Row], [n_nodes]]</f>
        <v/>
      </c>
      <c r="P34">
        <f>Table1[[#This Row], [n_mpi_procs]]&gt;=Table1[[#This Row], [n_nodes]]</f>
        <v/>
      </c>
    </row>
    <row r="35" ht="18.75" customHeight="1">
      <c r="A35" t="n">
        <v>33</v>
      </c>
      <c r="B35" s="8" t="n">
        <v>38</v>
      </c>
      <c r="C35" s="15" t="inlineStr">
        <is>
          <t>Multi-CPU - OMP</t>
        </is>
      </c>
      <c r="D35" s="16" t="inlineStr">
        <is>
          <t>CPU</t>
        </is>
      </c>
      <c r="E35" s="10" t="inlineStr">
        <is>
          <t>openmp</t>
        </is>
      </c>
      <c r="F35" s="11" t="n">
        <v>1</v>
      </c>
      <c r="G35" s="11" t="n">
        <v>1</v>
      </c>
      <c r="H35" s="11" t="n">
        <v>32</v>
      </c>
      <c r="I35" s="11" t="n">
        <v>0</v>
      </c>
      <c r="J35" s="12" t="inlineStr">
        <is>
          <t>standard</t>
        </is>
      </c>
      <c r="K35" s="12" t="n">
        <v>2</v>
      </c>
      <c r="L35" s="11" t="n">
        <v>720</v>
      </c>
      <c r="M35" s="13">
        <f>Table1[[#This Row], [n_mpi_procs]]*Table1[[#This Row], [n_omp_threads]]</f>
        <v/>
      </c>
      <c r="N35" s="13">
        <f>Table1[[#This Row], [n_omp_threads]]*Table1[[#This Row], [n_mpi_procs]]</f>
        <v/>
      </c>
      <c r="O35" s="20">
        <f>Table1[[#This Row], [total_devices]]/Table1[[#This Row], [n_nodes]]</f>
        <v/>
      </c>
      <c r="P35">
        <f>Table1[[#This Row], [n_mpi_procs]]&gt;=Table1[[#This Row], [n_nodes]]</f>
        <v/>
      </c>
    </row>
    <row r="36" ht="18.75" customHeight="1">
      <c r="A36" t="n">
        <v>34</v>
      </c>
      <c r="B36" s="8" t="n">
        <v>39</v>
      </c>
      <c r="C36" s="15" t="inlineStr">
        <is>
          <t>Multi-CPU - OMP</t>
        </is>
      </c>
      <c r="D36" s="16" t="inlineStr">
        <is>
          <t>CPU</t>
        </is>
      </c>
      <c r="E36" s="10" t="inlineStr">
        <is>
          <t>openmp</t>
        </is>
      </c>
      <c r="F36" s="11" t="n">
        <v>1</v>
      </c>
      <c r="G36" s="11" t="n">
        <v>1</v>
      </c>
      <c r="H36" s="11" t="n">
        <v>64</v>
      </c>
      <c r="I36" s="11" t="n">
        <v>0</v>
      </c>
      <c r="J36" s="12" t="inlineStr">
        <is>
          <t>standard</t>
        </is>
      </c>
      <c r="K36" s="12" t="n">
        <v>2</v>
      </c>
      <c r="L36" s="11" t="n">
        <v>720</v>
      </c>
      <c r="M36" s="13">
        <f>Table1[[#This Row], [n_mpi_procs]]*Table1[[#This Row], [n_omp_threads]]</f>
        <v/>
      </c>
      <c r="N36" s="13">
        <f>Table1[[#This Row], [n_omp_threads]]*Table1[[#This Row], [n_mpi_procs]]</f>
        <v/>
      </c>
      <c r="O36" s="20">
        <f>Table1[[#This Row], [total_devices]]/Table1[[#This Row], [n_nodes]]</f>
        <v/>
      </c>
      <c r="P36">
        <f>Table1[[#This Row], [n_mpi_procs]]&gt;=Table1[[#This Row], [n_nodes]]</f>
        <v/>
      </c>
    </row>
    <row r="37" ht="18.75" customHeight="1">
      <c r="A37" t="n">
        <v>35</v>
      </c>
      <c r="B37" s="8" t="n">
        <v>40</v>
      </c>
      <c r="C37" s="15" t="inlineStr">
        <is>
          <t>Baseline - 1 CPU</t>
        </is>
      </c>
      <c r="D37" s="16" t="inlineStr">
        <is>
          <t>CPU</t>
        </is>
      </c>
      <c r="E37" s="10" t="inlineStr">
        <is>
          <t>serial</t>
        </is>
      </c>
      <c r="F37" s="11" t="n">
        <v>1</v>
      </c>
      <c r="G37" s="11" t="n">
        <v>1</v>
      </c>
      <c r="H37" s="11" t="n">
        <v>1</v>
      </c>
      <c r="I37" s="11" t="n">
        <v>0</v>
      </c>
      <c r="J37" s="12" t="inlineStr">
        <is>
          <t>standard</t>
        </is>
      </c>
      <c r="K37" s="12" t="n">
        <v>2</v>
      </c>
      <c r="L37" s="11">
        <f>60*24</f>
        <v/>
      </c>
      <c r="M37" s="13">
        <f>Table1[[#This Row], [n_mpi_procs]]*Table1[[#This Row], [n_omp_threads]]</f>
        <v/>
      </c>
      <c r="N37" s="13">
        <f>Table1[[#This Row], [n_omp_threads]]*Table1[[#This Row], [n_mpi_procs]]</f>
        <v/>
      </c>
      <c r="O37" s="20">
        <f>Table1[[#This Row], [total_devices]]/Table1[[#This Row], [n_nodes]]</f>
        <v/>
      </c>
      <c r="P37">
        <f>Table1[[#This Row], [n_mpi_procs]]&gt;=Table1[[#This Row], [n_nodes]]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2026-02-16T13:41:23Z</dcterms:created>
  <dcterms:modified xmlns:dcterms="http://purl.org/dc/terms/" xmlns:xsi="http://www.w3.org/2001/XMLSchema-instance" xsi:type="dcterms:W3CDTF">2026-08-30T23:35:56Z</dcterms:modified>
  <cp:lastModifiedBy>Lassiter, Daniel Charles (dcl3nd)</cp:lastModifiedBy>
</cp:coreProperties>
</file>