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color rgb="FF3F3F76"/>
      <sz val="11"/>
    </font>
    <font>
      <name val="Calibri"/>
      <family val="2"/>
      <b val="1"/>
      <color rgb="FF3F3F3F"/>
      <sz val="11"/>
    </font>
  </fonts>
  <fills count="5">
    <fill>
      <patternFill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CC99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3" fontId="1" fillId="0" borderId="1" applyAlignment="1" pivotButton="0" quotePrefix="0" xfId="0">
      <alignment horizontal="left"/>
    </xf>
    <xf numFmtId="3" fontId="1" fillId="0" borderId="2" applyAlignment="1" pivotButton="0" quotePrefix="0" xfId="0">
      <alignment horizontal="left"/>
    </xf>
    <xf numFmtId="0" fontId="3" fillId="2" borderId="3" applyAlignment="1" pivotButton="0" quotePrefix="0" xfId="0">
      <alignment horizontal="right"/>
    </xf>
    <xf numFmtId="3" fontId="3" fillId="2" borderId="3" applyAlignment="1" pivotButton="0" quotePrefix="0" xfId="0">
      <alignment horizontal="right"/>
    </xf>
    <xf numFmtId="0" fontId="3" fillId="2" borderId="3" applyAlignment="1" pivotButton="0" quotePrefix="0" xfId="0">
      <alignment horizontal="left"/>
    </xf>
    <xf numFmtId="3" fontId="4" fillId="3" borderId="3" applyAlignment="1" pivotButton="0" quotePrefix="0" xfId="0">
      <alignment horizontal="right"/>
    </xf>
    <xf numFmtId="3" fontId="4" fillId="3" borderId="4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3" fillId="4" borderId="3" applyAlignment="1" pivotButton="0" quotePrefix="0" xfId="0">
      <alignment horizontal="left"/>
    </xf>
  </cellXfs>
  <cellStyles count="1">
    <cellStyle name="Normal" xfId="0" builtinId="0"/>
  </cellStyles>
  <dxfs count="1">
    <dxf>
      <font>
        <name val="Calibri"/>
        <family val="2"/>
        <strike val="0"/>
        <outline val="0"/>
        <shadow val="0"/>
        <condense val="0"/>
        <color rgb="FF3F3F76"/>
        <extend val="0"/>
        <sz val="11"/>
        <vertAlign val="baseline"/>
      </font>
      <fill>
        <patternFill patternType="solid">
          <fgColor indexed="64"/>
          <bgColor rgb="FFFFCC99"/>
        </patternFill>
      </fill>
      <alignment horizontal="left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K21" headerRowCount="1" totalsRowShown="0">
  <autoFilter ref="A1:K21"/>
  <sortState ref="A2:K21">
    <sortCondition ref="I1:I23"/>
  </sortState>
  <tableColumns count="11">
    <tableColumn id="3" name="run_mode"/>
    <tableColumn id="4" name="n_nodes"/>
    <tableColumn id="5" name="n_mpi_procs"/>
    <tableColumn id="6" name="n_omp_threads"/>
    <tableColumn id="7" name="n_gpus"/>
    <tableColumn id="8" name="hpc_ensemble_partition"/>
    <tableColumn id="9" name="mem_gb_per_cpu" dataDxfId="0"/>
    <tableColumn id="10" name="total_OpenMP_threads"/>
    <tableColumn id="11" name="total_devices"/>
    <tableColumn id="12" name="devices_per_node"/>
    <tableColumn id="13" name="Us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L23"/>
  <sheetViews>
    <sheetView tabSelected="1" workbookViewId="0">
      <selection activeCell="J15" sqref="J15"/>
    </sheetView>
  </sheetViews>
  <sheetFormatPr baseColWidth="8" defaultRowHeight="15"/>
  <cols>
    <col width="9.28515625" bestFit="1" customWidth="1" style="11" min="1" max="1"/>
    <col width="19" bestFit="1" customWidth="1" style="12" min="2" max="2"/>
    <col width="22.42578125" bestFit="1" customWidth="1" style="12" min="3" max="3"/>
    <col width="28.28515625" bestFit="1" customWidth="1" style="12" min="4" max="5"/>
    <col width="28.28515625" bestFit="1" customWidth="1" min="6" max="6"/>
    <col width="28.28515625" customWidth="1" min="7" max="7"/>
    <col width="24.7109375" bestFit="1" customWidth="1" style="12" min="8" max="8"/>
    <col width="19" bestFit="1" customWidth="1" style="12" min="9" max="9"/>
    <col width="19.85546875" bestFit="1" customWidth="1" style="12" min="10" max="10"/>
    <col width="13.5703125" bestFit="1" customWidth="1" min="11" max="11"/>
  </cols>
  <sheetData>
    <row r="1" ht="18.75" customHeight="1">
      <c r="A1" t="inlineStr">
        <is>
          <t>member_id</t>
        </is>
      </c>
      <c r="B1" s="1" t="inlineStr">
        <is>
          <t>run_mode</t>
        </is>
      </c>
      <c r="C1" s="2" t="inlineStr">
        <is>
          <t>n_nodes</t>
        </is>
      </c>
      <c r="D1" s="2" t="inlineStr">
        <is>
          <t>n_mpi_procs</t>
        </is>
      </c>
      <c r="E1" s="2" t="inlineStr">
        <is>
          <t>n_omp_threads</t>
        </is>
      </c>
      <c r="F1" s="2" t="inlineStr">
        <is>
          <t>n_gpus</t>
        </is>
      </c>
      <c r="G1" s="3" t="inlineStr">
        <is>
          <t>hpc_ensemble_partition</t>
        </is>
      </c>
      <c r="H1" s="3" t="inlineStr">
        <is>
          <t>mem_gb_per_cpu</t>
        </is>
      </c>
      <c r="I1" s="4" t="inlineStr">
        <is>
          <t>total_OpenMP_threads</t>
        </is>
      </c>
      <c r="J1" s="4" t="inlineStr">
        <is>
          <t>total_devices</t>
        </is>
      </c>
      <c r="K1" s="5" t="inlineStr">
        <is>
          <t>devices_per_node</t>
        </is>
      </c>
      <c r="L1" s="1" t="inlineStr">
        <is>
          <t>Use</t>
        </is>
      </c>
    </row>
    <row r="2" ht="18.75" customHeight="1">
      <c r="A2" t="n">
        <v>0</v>
      </c>
      <c r="B2" s="6" t="inlineStr">
        <is>
          <t>serial</t>
        </is>
      </c>
      <c r="C2" s="7" t="n">
        <v>1</v>
      </c>
      <c r="D2" s="7" t="n">
        <v>1</v>
      </c>
      <c r="E2" s="7" t="n">
        <v>1</v>
      </c>
      <c r="F2" s="7" t="n">
        <v>0</v>
      </c>
      <c r="G2" s="8" t="inlineStr">
        <is>
          <t>standard</t>
        </is>
      </c>
      <c r="H2" s="8" t="n">
        <v>2</v>
      </c>
      <c r="I2" s="9">
        <f>Table1[[#This Row], [n_mpi_procs]]*Table1[[#This Row], [n_omp_threads]]</f>
        <v/>
      </c>
      <c r="J2" s="9">
        <f>Table1[[#This Row], [n_omp_threads]]*Table1[[#This Row], [n_mpi_procs]]</f>
        <v/>
      </c>
      <c r="K2" s="10">
        <f>Table1[[#This Row], [total_devices]]/Table1[[#This Row], [n_nodes]]</f>
        <v/>
      </c>
      <c r="L2">
        <f>Table1[[#This Row], [n_mpi_procs]]&gt;=Table1[[#This Row], [n_nodes]]</f>
        <v/>
      </c>
    </row>
    <row r="3" ht="18.75" customHeight="1">
      <c r="A3" t="n">
        <v>1</v>
      </c>
      <c r="B3" s="6" t="inlineStr">
        <is>
          <t>openmp</t>
        </is>
      </c>
      <c r="C3" s="7" t="n">
        <v>1</v>
      </c>
      <c r="D3" s="7" t="n">
        <v>1</v>
      </c>
      <c r="E3" s="7" t="n">
        <v>2</v>
      </c>
      <c r="F3" s="7" t="n">
        <v>0</v>
      </c>
      <c r="G3" s="8" t="inlineStr">
        <is>
          <t>standard</t>
        </is>
      </c>
      <c r="H3" s="8" t="n">
        <v>2</v>
      </c>
      <c r="I3" s="9">
        <f>Table1[[#This Row], [n_mpi_procs]]*Table1[[#This Row], [n_omp_threads]]</f>
        <v/>
      </c>
      <c r="J3" s="9">
        <f>Table1[[#This Row], [n_omp_threads]]*Table1[[#This Row], [n_mpi_procs]]</f>
        <v/>
      </c>
      <c r="K3" s="10">
        <f>Table1[[#This Row], [total_devices]]/Table1[[#This Row], [n_nodes]]</f>
        <v/>
      </c>
      <c r="L3">
        <f>Table1[[#This Row], [n_mpi_procs]]&gt;=Table1[[#This Row], [n_nodes]]</f>
        <v/>
      </c>
    </row>
    <row r="4" ht="18.75" customHeight="1">
      <c r="A4" t="n">
        <v>2</v>
      </c>
      <c r="B4" s="6" t="inlineStr">
        <is>
          <t>mpi</t>
        </is>
      </c>
      <c r="C4" s="7" t="n">
        <v>1</v>
      </c>
      <c r="D4" s="7" t="n">
        <v>2</v>
      </c>
      <c r="E4" s="7" t="n">
        <v>1</v>
      </c>
      <c r="F4" s="7" t="n">
        <v>0</v>
      </c>
      <c r="G4" s="8" t="inlineStr">
        <is>
          <t>standard</t>
        </is>
      </c>
      <c r="H4" s="8" t="n">
        <v>2</v>
      </c>
      <c r="I4" s="9">
        <f>Table1[[#This Row], [n_mpi_procs]]*Table1[[#This Row], [n_omp_threads]]</f>
        <v/>
      </c>
      <c r="J4" s="9">
        <f>Table1[[#This Row], [n_omp_threads]]*Table1[[#This Row], [n_mpi_procs]]</f>
        <v/>
      </c>
      <c r="K4" s="10">
        <f>Table1[[#This Row], [total_devices]]/Table1[[#This Row], [n_nodes]]</f>
        <v/>
      </c>
      <c r="L4">
        <f>Table1[[#This Row], [n_mpi_procs]]&gt;=Table1[[#This Row], [n_nodes]]</f>
        <v/>
      </c>
    </row>
    <row r="5" ht="18.75" customHeight="1">
      <c r="A5" t="n">
        <v>3</v>
      </c>
      <c r="B5" s="6" t="inlineStr">
        <is>
          <t>openmp</t>
        </is>
      </c>
      <c r="C5" s="7" t="n">
        <v>1</v>
      </c>
      <c r="D5" s="7" t="n">
        <v>1</v>
      </c>
      <c r="E5" s="7" t="n">
        <v>4</v>
      </c>
      <c r="F5" s="7" t="n">
        <v>0</v>
      </c>
      <c r="G5" s="8" t="inlineStr">
        <is>
          <t>standard</t>
        </is>
      </c>
      <c r="H5" s="8" t="n">
        <v>2</v>
      </c>
      <c r="I5" s="9">
        <f>Table1[[#This Row], [n_mpi_procs]]*Table1[[#This Row], [n_omp_threads]]</f>
        <v/>
      </c>
      <c r="J5" s="9">
        <f>Table1[[#This Row], [n_omp_threads]]*Table1[[#This Row], [n_mpi_procs]]</f>
        <v/>
      </c>
      <c r="K5" s="10">
        <f>Table1[[#This Row], [total_devices]]/Table1[[#This Row], [n_nodes]]</f>
        <v/>
      </c>
      <c r="L5">
        <f>Table1[[#This Row], [n_mpi_procs]]&gt;=Table1[[#This Row], [n_nodes]]</f>
        <v/>
      </c>
    </row>
    <row r="6">
      <c r="A6" t="n">
        <v>4</v>
      </c>
      <c r="B6" s="6" t="inlineStr">
        <is>
          <t>mpi</t>
        </is>
      </c>
      <c r="C6" s="7" t="n">
        <v>1</v>
      </c>
      <c r="D6" s="7" t="n">
        <v>4</v>
      </c>
      <c r="E6" s="7" t="n">
        <v>1</v>
      </c>
      <c r="F6" s="7" t="n">
        <v>0</v>
      </c>
      <c r="G6" s="8" t="inlineStr">
        <is>
          <t>standard</t>
        </is>
      </c>
      <c r="H6" s="8" t="n">
        <v>2</v>
      </c>
      <c r="I6" s="9">
        <f>Table1[[#This Row], [n_mpi_procs]]*Table1[[#This Row], [n_omp_threads]]</f>
        <v/>
      </c>
      <c r="J6" s="9">
        <f>Table1[[#This Row], [n_omp_threads]]*Table1[[#This Row], [n_mpi_procs]]</f>
        <v/>
      </c>
      <c r="K6" s="10">
        <f>Table1[[#This Row], [total_devices]]/Table1[[#This Row], [n_nodes]]</f>
        <v/>
      </c>
      <c r="L6">
        <f>Table1[[#This Row], [n_mpi_procs]]&gt;=Table1[[#This Row], [n_nodes]]</f>
        <v/>
      </c>
    </row>
    <row r="7">
      <c r="A7" t="n">
        <v>5</v>
      </c>
      <c r="B7" s="6" t="inlineStr">
        <is>
          <t>hybrid</t>
        </is>
      </c>
      <c r="C7" s="7" t="n">
        <v>1</v>
      </c>
      <c r="D7" s="7" t="n">
        <v>2</v>
      </c>
      <c r="E7" s="7" t="n">
        <v>2</v>
      </c>
      <c r="F7" s="7" t="n">
        <v>0</v>
      </c>
      <c r="G7" s="8" t="inlineStr">
        <is>
          <t>standard</t>
        </is>
      </c>
      <c r="H7" s="8" t="n">
        <v>2</v>
      </c>
      <c r="I7" s="9">
        <f>Table1[[#This Row], [n_mpi_procs]]*Table1[[#This Row], [n_omp_threads]]</f>
        <v/>
      </c>
      <c r="J7" s="9">
        <f>Table1[[#This Row], [n_omp_threads]]*Table1[[#This Row], [n_mpi_procs]]</f>
        <v/>
      </c>
      <c r="K7" s="10">
        <f>Table1[[#This Row], [total_devices]]/Table1[[#This Row], [n_nodes]]</f>
        <v/>
      </c>
      <c r="L7">
        <f>Table1[[#This Row], [n_mpi_procs]]&gt;=Table1[[#This Row], [n_nodes]]</f>
        <v/>
      </c>
    </row>
    <row r="8">
      <c r="A8" t="n">
        <v>6</v>
      </c>
      <c r="B8" s="6" t="inlineStr">
        <is>
          <t>openmp</t>
        </is>
      </c>
      <c r="C8" s="7" t="n">
        <v>1</v>
      </c>
      <c r="D8" s="7" t="n">
        <v>1</v>
      </c>
      <c r="E8" s="7" t="n">
        <v>8</v>
      </c>
      <c r="F8" s="7" t="n">
        <v>0</v>
      </c>
      <c r="G8" s="8" t="inlineStr">
        <is>
          <t>standard</t>
        </is>
      </c>
      <c r="H8" s="8" t="n">
        <v>2</v>
      </c>
      <c r="I8" s="9">
        <f>Table1[[#This Row], [n_mpi_procs]]*Table1[[#This Row], [n_omp_threads]]</f>
        <v/>
      </c>
      <c r="J8" s="9">
        <f>Table1[[#This Row], [n_omp_threads]]*Table1[[#This Row], [n_mpi_procs]]</f>
        <v/>
      </c>
      <c r="K8" s="10">
        <f>Table1[[#This Row], [total_devices]]/Table1[[#This Row], [n_nodes]]</f>
        <v/>
      </c>
      <c r="L8">
        <f>Table1[[#This Row], [n_mpi_procs]]&gt;=Table1[[#This Row], [n_nodes]]</f>
        <v/>
      </c>
    </row>
    <row r="9">
      <c r="A9" t="n">
        <v>7</v>
      </c>
      <c r="B9" s="6" t="inlineStr">
        <is>
          <t>mpi</t>
        </is>
      </c>
      <c r="C9" s="7" t="n">
        <v>1</v>
      </c>
      <c r="D9" s="7" t="n">
        <v>8</v>
      </c>
      <c r="E9" s="7" t="n">
        <v>1</v>
      </c>
      <c r="F9" s="7" t="n">
        <v>0</v>
      </c>
      <c r="G9" s="8" t="inlineStr">
        <is>
          <t>standard</t>
        </is>
      </c>
      <c r="H9" s="8" t="n">
        <v>2</v>
      </c>
      <c r="I9" s="9">
        <f>Table1[[#This Row], [n_mpi_procs]]*Table1[[#This Row], [n_omp_threads]]</f>
        <v/>
      </c>
      <c r="J9" s="9">
        <f>Table1[[#This Row], [n_omp_threads]]*Table1[[#This Row], [n_mpi_procs]]</f>
        <v/>
      </c>
      <c r="K9" s="10">
        <f>Table1[[#This Row], [total_devices]]/Table1[[#This Row], [n_nodes]]</f>
        <v/>
      </c>
      <c r="L9">
        <f>Table1[[#This Row], [n_mpi_procs]]&gt;=Table1[[#This Row], [n_nodes]]</f>
        <v/>
      </c>
    </row>
    <row r="10">
      <c r="A10" t="n">
        <v>8</v>
      </c>
      <c r="B10" s="6" t="inlineStr">
        <is>
          <t>hybrid</t>
        </is>
      </c>
      <c r="C10" s="7" t="n">
        <v>1</v>
      </c>
      <c r="D10" s="7" t="n">
        <v>2</v>
      </c>
      <c r="E10" s="7" t="n">
        <v>4</v>
      </c>
      <c r="F10" s="7" t="n">
        <v>0</v>
      </c>
      <c r="G10" s="8" t="inlineStr">
        <is>
          <t>standard</t>
        </is>
      </c>
      <c r="H10" s="8" t="n">
        <v>2</v>
      </c>
      <c r="I10" s="9">
        <f>Table1[[#This Row], [n_mpi_procs]]*Table1[[#This Row], [n_omp_threads]]</f>
        <v/>
      </c>
      <c r="J10" s="9">
        <f>Table1[[#This Row], [n_omp_threads]]*Table1[[#This Row], [n_mpi_procs]]</f>
        <v/>
      </c>
      <c r="K10" s="10">
        <f>Table1[[#This Row], [total_devices]]/Table1[[#This Row], [n_nodes]]</f>
        <v/>
      </c>
      <c r="L10">
        <f>Table1[[#This Row], [n_mpi_procs]]&gt;=Table1[[#This Row], [n_nodes]]</f>
        <v/>
      </c>
    </row>
    <row r="11">
      <c r="A11" t="n">
        <v>9</v>
      </c>
      <c r="B11" s="6" t="inlineStr">
        <is>
          <t>mpi</t>
        </is>
      </c>
      <c r="C11" s="7" t="n">
        <v>1</v>
      </c>
      <c r="D11" s="7" t="n">
        <v>16</v>
      </c>
      <c r="E11" s="7" t="n">
        <v>1</v>
      </c>
      <c r="F11" s="7" t="n">
        <v>0</v>
      </c>
      <c r="G11" s="8" t="inlineStr">
        <is>
          <t>standard</t>
        </is>
      </c>
      <c r="H11" s="8" t="n">
        <v>2</v>
      </c>
      <c r="I11" s="9">
        <f>Table1[[#This Row], [n_mpi_procs]]*Table1[[#This Row], [n_omp_threads]]</f>
        <v/>
      </c>
      <c r="J11" s="9">
        <f>Table1[[#This Row], [n_omp_threads]]*Table1[[#This Row], [n_mpi_procs]]</f>
        <v/>
      </c>
      <c r="K11" s="10">
        <f>Table1[[#This Row], [total_devices]]/Table1[[#This Row], [n_nodes]]</f>
        <v/>
      </c>
      <c r="L11">
        <f>Table1[[#This Row], [n_mpi_procs]]&gt;=Table1[[#This Row], [n_nodes]]</f>
        <v/>
      </c>
    </row>
    <row r="12">
      <c r="A12" t="n">
        <v>10</v>
      </c>
      <c r="B12" s="6" t="inlineStr">
        <is>
          <t>hybrid</t>
        </is>
      </c>
      <c r="C12" s="7" t="n">
        <v>1</v>
      </c>
      <c r="D12" s="7" t="n">
        <v>2</v>
      </c>
      <c r="E12" s="7" t="n">
        <v>8</v>
      </c>
      <c r="F12" s="7" t="n">
        <v>0</v>
      </c>
      <c r="G12" s="8" t="inlineStr">
        <is>
          <t>standard</t>
        </is>
      </c>
      <c r="H12" s="13" t="n">
        <v>2</v>
      </c>
      <c r="I12" s="9">
        <f>Table1[[#This Row], [n_mpi_procs]]*Table1[[#This Row], [n_omp_threads]]</f>
        <v/>
      </c>
      <c r="J12" s="9">
        <f>Table1[[#This Row], [n_omp_threads]]*Table1[[#This Row], [n_mpi_procs]]</f>
        <v/>
      </c>
      <c r="K12" s="10">
        <f>Table1[[#This Row], [total_devices]]/Table1[[#This Row], [n_nodes]]</f>
        <v/>
      </c>
      <c r="L12">
        <f>Table1[[#This Row], [n_mpi_procs]]&gt;=Table1[[#This Row], [n_nodes]]</f>
        <v/>
      </c>
    </row>
    <row r="13">
      <c r="A13" t="n">
        <v>11</v>
      </c>
      <c r="B13" s="6" t="inlineStr">
        <is>
          <t>openmp</t>
        </is>
      </c>
      <c r="C13" s="7" t="n">
        <v>1</v>
      </c>
      <c r="D13" s="7" t="n">
        <v>1</v>
      </c>
      <c r="E13" s="7" t="n">
        <v>16</v>
      </c>
      <c r="F13" s="7" t="n">
        <v>0</v>
      </c>
      <c r="G13" s="8" t="inlineStr">
        <is>
          <t>standard</t>
        </is>
      </c>
      <c r="H13" s="8" t="n">
        <v>2</v>
      </c>
      <c r="I13" s="9">
        <f>Table1[[#This Row], [n_mpi_procs]]*Table1[[#This Row], [n_omp_threads]]</f>
        <v/>
      </c>
      <c r="J13" s="9">
        <f>Table1[[#This Row], [n_omp_threads]]*Table1[[#This Row], [n_mpi_procs]]</f>
        <v/>
      </c>
      <c r="K13" s="10">
        <f>Table1[[#This Row], [total_devices]]/Table1[[#This Row], [n_nodes]]</f>
        <v/>
      </c>
      <c r="L13">
        <f>Table1[[#This Row], [n_mpi_procs]]&gt;=Table1[[#This Row], [n_nodes]]</f>
        <v/>
      </c>
    </row>
    <row r="14">
      <c r="A14" t="n">
        <v>12</v>
      </c>
      <c r="B14" s="6" t="inlineStr">
        <is>
          <t>openmp</t>
        </is>
      </c>
      <c r="C14" s="7" t="n">
        <v>1</v>
      </c>
      <c r="D14" s="7" t="n">
        <v>1</v>
      </c>
      <c r="E14" s="7" t="n">
        <v>32</v>
      </c>
      <c r="F14" s="7" t="n">
        <v>0</v>
      </c>
      <c r="G14" s="8" t="inlineStr">
        <is>
          <t>standard</t>
        </is>
      </c>
      <c r="H14" s="8" t="n">
        <v>2</v>
      </c>
      <c r="I14" s="9">
        <f>Table1[[#This Row], [n_mpi_procs]]*Table1[[#This Row], [n_omp_threads]]</f>
        <v/>
      </c>
      <c r="J14" s="9">
        <f>Table1[[#This Row], [n_omp_threads]]*Table1[[#This Row], [n_mpi_procs]]</f>
        <v/>
      </c>
      <c r="K14" s="10">
        <f>Table1[[#This Row], [total_devices]]/Table1[[#This Row], [n_nodes]]</f>
        <v/>
      </c>
      <c r="L14">
        <f>Table1[[#This Row], [n_mpi_procs]]&gt;=Table1[[#This Row], [n_nodes]]</f>
        <v/>
      </c>
    </row>
    <row r="15">
      <c r="A15" t="n">
        <v>13</v>
      </c>
      <c r="B15" s="6" t="inlineStr">
        <is>
          <t>hybrid</t>
        </is>
      </c>
      <c r="C15" s="7" t="n">
        <v>1</v>
      </c>
      <c r="D15" s="7" t="n">
        <v>2</v>
      </c>
      <c r="E15" s="7" t="n">
        <v>16</v>
      </c>
      <c r="F15" s="7" t="n">
        <v>0</v>
      </c>
      <c r="G15" s="8" t="inlineStr">
        <is>
          <t>standard</t>
        </is>
      </c>
      <c r="H15" s="8" t="n">
        <v>2</v>
      </c>
      <c r="I15" s="9">
        <f>Table1[[#This Row], [n_mpi_procs]]*Table1[[#This Row], [n_omp_threads]]</f>
        <v/>
      </c>
      <c r="J15" s="9">
        <f>Table1[[#This Row], [n_omp_threads]]*Table1[[#This Row], [n_mpi_procs]]</f>
        <v/>
      </c>
      <c r="K15" s="10">
        <f>Table1[[#This Row], [total_devices]]/Table1[[#This Row], [n_nodes]]</f>
        <v/>
      </c>
      <c r="L15">
        <f>Table1[[#This Row], [n_mpi_procs]]&gt;=Table1[[#This Row], [n_nodes]]</f>
        <v/>
      </c>
    </row>
    <row r="16">
      <c r="A16" t="n">
        <v>14</v>
      </c>
      <c r="B16" s="6" t="inlineStr">
        <is>
          <t>hybrid</t>
        </is>
      </c>
      <c r="C16" s="7" t="n">
        <v>1</v>
      </c>
      <c r="D16" s="7" t="n">
        <v>32</v>
      </c>
      <c r="E16" s="7" t="n">
        <v>2</v>
      </c>
      <c r="F16" s="7" t="n">
        <v>0</v>
      </c>
      <c r="G16" s="8" t="inlineStr">
        <is>
          <t>standard</t>
        </is>
      </c>
      <c r="H16" s="8" t="n">
        <v>2</v>
      </c>
      <c r="I16" s="9">
        <f>Table1[[#This Row], [n_mpi_procs]]*Table1[[#This Row], [n_omp_threads]]</f>
        <v/>
      </c>
      <c r="J16" s="9">
        <f>Table1[[#This Row], [n_omp_threads]]*Table1[[#This Row], [n_mpi_procs]]</f>
        <v/>
      </c>
      <c r="K16" s="10">
        <f>Table1[[#This Row], [total_devices]]/Table1[[#This Row], [n_nodes]]</f>
        <v/>
      </c>
      <c r="L16">
        <f>Table1[[#This Row], [n_mpi_procs]]&gt;=Table1[[#This Row], [n_nodes]]</f>
        <v/>
      </c>
    </row>
    <row r="17">
      <c r="A17" t="n">
        <v>15</v>
      </c>
      <c r="B17" s="6" t="inlineStr">
        <is>
          <t>openmp</t>
        </is>
      </c>
      <c r="C17" s="7" t="n">
        <v>1</v>
      </c>
      <c r="D17" s="7" t="n">
        <v>1</v>
      </c>
      <c r="E17" s="7" t="n">
        <v>64</v>
      </c>
      <c r="F17" s="7" t="n">
        <v>0</v>
      </c>
      <c r="G17" s="8" t="inlineStr">
        <is>
          <t>standard</t>
        </is>
      </c>
      <c r="H17" s="8" t="n">
        <v>2</v>
      </c>
      <c r="I17" s="9">
        <f>Table1[[#This Row], [n_mpi_procs]]*Table1[[#This Row], [n_omp_threads]]</f>
        <v/>
      </c>
      <c r="J17" s="9">
        <f>Table1[[#This Row], [n_omp_threads]]*Table1[[#This Row], [n_mpi_procs]]</f>
        <v/>
      </c>
      <c r="K17" s="10">
        <f>Table1[[#This Row], [total_devices]]/Table1[[#This Row], [n_nodes]]</f>
        <v/>
      </c>
      <c r="L17">
        <f>Table1[[#This Row], [n_mpi_procs]]&gt;=Table1[[#This Row], [n_nodes]]</f>
        <v/>
      </c>
    </row>
    <row r="18">
      <c r="A18" t="n">
        <v>16</v>
      </c>
      <c r="B18" s="6" t="inlineStr">
        <is>
          <t>hybrid</t>
        </is>
      </c>
      <c r="C18" s="7" t="n">
        <v>1</v>
      </c>
      <c r="D18" s="7" t="n">
        <v>2</v>
      </c>
      <c r="E18" s="7" t="n">
        <v>32</v>
      </c>
      <c r="F18" s="7" t="n">
        <v>0</v>
      </c>
      <c r="G18" s="8" t="inlineStr">
        <is>
          <t>standard</t>
        </is>
      </c>
      <c r="H18" s="8" t="n">
        <v>2</v>
      </c>
      <c r="I18" s="9">
        <f>Table1[[#This Row], [n_mpi_procs]]*Table1[[#This Row], [n_omp_threads]]</f>
        <v/>
      </c>
      <c r="J18" s="9">
        <f>Table1[[#This Row], [n_omp_threads]]*Table1[[#This Row], [n_mpi_procs]]</f>
        <v/>
      </c>
      <c r="K18" s="10">
        <f>Table1[[#This Row], [total_devices]]/Table1[[#This Row], [n_nodes]]</f>
        <v/>
      </c>
      <c r="L18">
        <f>Table1[[#This Row], [n_mpi_procs]]&gt;=Table1[[#This Row], [n_nodes]]</f>
        <v/>
      </c>
    </row>
    <row r="19">
      <c r="A19" t="n">
        <v>17</v>
      </c>
      <c r="B19" s="6" t="inlineStr">
        <is>
          <t>hybrid</t>
        </is>
      </c>
      <c r="C19" s="7" t="n">
        <v>2</v>
      </c>
      <c r="D19" s="7" t="n">
        <v>32</v>
      </c>
      <c r="E19" s="7" t="n">
        <v>4</v>
      </c>
      <c r="F19" s="7" t="n">
        <v>0</v>
      </c>
      <c r="G19" s="8" t="inlineStr">
        <is>
          <t>parallel</t>
        </is>
      </c>
      <c r="H19" s="8" t="n">
        <v>2</v>
      </c>
      <c r="I19" s="9">
        <f>Table1[[#This Row], [n_mpi_procs]]*Table1[[#This Row], [n_omp_threads]]</f>
        <v/>
      </c>
      <c r="J19" s="9">
        <f>Table1[[#This Row], [n_omp_threads]]*Table1[[#This Row], [n_mpi_procs]]</f>
        <v/>
      </c>
      <c r="K19" s="10">
        <f>Table1[[#This Row], [total_devices]]/Table1[[#This Row], [n_nodes]]</f>
        <v/>
      </c>
      <c r="L19">
        <f>Table1[[#This Row], [n_mpi_procs]]&gt;=Table1[[#This Row], [n_nodes]]</f>
        <v/>
      </c>
    </row>
    <row r="20">
      <c r="A20" t="n">
        <v>18</v>
      </c>
      <c r="B20" s="6" t="inlineStr">
        <is>
          <t>hybrid</t>
        </is>
      </c>
      <c r="C20" s="7" t="n">
        <v>2</v>
      </c>
      <c r="D20" s="7" t="n">
        <v>64</v>
      </c>
      <c r="E20" s="7" t="n">
        <v>2</v>
      </c>
      <c r="F20" s="7" t="n">
        <v>0</v>
      </c>
      <c r="G20" s="8" t="inlineStr">
        <is>
          <t>parallel</t>
        </is>
      </c>
      <c r="H20" s="8" t="n">
        <v>2</v>
      </c>
      <c r="I20" s="9">
        <f>Table1[[#This Row], [n_mpi_procs]]*Table1[[#This Row], [n_omp_threads]]</f>
        <v/>
      </c>
      <c r="J20" s="9">
        <f>Table1[[#This Row], [n_omp_threads]]*Table1[[#This Row], [n_mpi_procs]]</f>
        <v/>
      </c>
      <c r="K20" s="10">
        <f>Table1[[#This Row], [total_devices]]/Table1[[#This Row], [n_nodes]]</f>
        <v/>
      </c>
      <c r="L20">
        <f>Table1[[#This Row], [n_mpi_procs]]&gt;=Table1[[#This Row], [n_nodes]]</f>
        <v/>
      </c>
    </row>
    <row r="21">
      <c r="A21" t="n">
        <v>19</v>
      </c>
      <c r="B21" s="6" t="inlineStr">
        <is>
          <t>hybrid</t>
        </is>
      </c>
      <c r="C21" s="7" t="n">
        <v>1</v>
      </c>
      <c r="D21" s="7" t="n">
        <v>2</v>
      </c>
      <c r="E21" s="7" t="n">
        <v>64</v>
      </c>
      <c r="F21" s="7" t="n">
        <v>0</v>
      </c>
      <c r="G21" s="8" t="inlineStr">
        <is>
          <t>standard</t>
        </is>
      </c>
      <c r="H21" s="8" t="n">
        <v>2</v>
      </c>
      <c r="I21" s="9">
        <f>Table1[[#This Row], [n_mpi_procs]]*Table1[[#This Row], [n_omp_threads]]</f>
        <v/>
      </c>
      <c r="J21" s="9">
        <f>Table1[[#This Row], [n_omp_threads]]*Table1[[#This Row], [n_mpi_procs]]</f>
        <v/>
      </c>
      <c r="K21" s="10">
        <f>Table1[[#This Row], [total_devices]]/Table1[[#This Row], [n_nodes]]</f>
        <v/>
      </c>
      <c r="L21">
        <f>Table1[[#This Row], [n_mpi_procs]]&gt;=Table1[[#This Row], [n_nodes]]</f>
        <v/>
      </c>
    </row>
    <row r="22">
      <c r="A22" t="n">
        <v>20</v>
      </c>
    </row>
    <row r="23">
      <c r="A23" t="n">
        <v>21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Lassiter</dc:creator>
  <dcterms:created xmlns:dcterms="http://purl.org/dc/terms/" xmlns:xsi="http://www.w3.org/2001/XMLSchema-instance" xsi:type="dcterms:W3CDTF">2026-02-16T13:41:23Z</dcterms:created>
  <dcterms:modified xmlns:dcterms="http://purl.org/dc/terms/" xmlns:xsi="http://www.w3.org/2001/XMLSchema-instance" xsi:type="dcterms:W3CDTF">2026-08-30T23:35:56Z</dcterms:modified>
  <cp:lastModifiedBy>Lassiter, Daniel Charles (dcl3nd)</cp:lastModifiedBy>
</cp:coreProperties>
</file>