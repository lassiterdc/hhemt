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4185" windowWidth="29040" windowHeight="1572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3" fontId="1" fillId="0" borderId="2" applyAlignment="1" pivotButton="0" quotePrefix="0" xfId="0">
      <alignment horizontal="left"/>
    </xf>
    <xf numFmtId="3" fontId="1" fillId="0" borderId="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3" fontId="2" fillId="3" borderId="5" applyAlignment="1" pivotButton="0" quotePrefix="0" xfId="0">
      <alignment horizontal="right"/>
    </xf>
    <xf numFmtId="3" fontId="3" fillId="4" borderId="5" applyAlignment="1" pivotButton="0" quotePrefix="0" xfId="0">
      <alignment horizontal="right"/>
    </xf>
    <xf numFmtId="3" fontId="3" fillId="4" borderId="6" applyAlignment="1" pivotButton="0" quotePrefix="0" xfId="0">
      <alignment horizontal="right"/>
    </xf>
    <xf numFmtId="0" fontId="3" fillId="4" borderId="7" applyAlignment="1" pivotButton="0" quotePrefix="0" xfId="0">
      <alignment horizontal="center"/>
    </xf>
    <xf numFmtId="0" fontId="3" fillId="4" borderId="5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1" fillId="2" borderId="8" applyAlignment="1" pivotButton="0" quotePrefix="0" xfId="0">
      <alignment horizontal="left"/>
    </xf>
    <xf numFmtId="0" fontId="1" fillId="2" borderId="9" applyAlignment="1" pivotButton="0" quotePrefix="0" xfId="0">
      <alignment horizontal="left"/>
    </xf>
    <xf numFmtId="0" fontId="2" fillId="3" borderId="9" applyAlignment="1" pivotButton="0" quotePrefix="0" xfId="0">
      <alignment horizontal="left"/>
    </xf>
    <xf numFmtId="3" fontId="2" fillId="3" borderId="9" applyAlignment="1" pivotButton="0" quotePrefix="0" xfId="0">
      <alignment horizontal="right"/>
    </xf>
  </cellXfs>
  <cellStyles count="1">
    <cellStyle name="Normal" xfId="0" builtinId="0"/>
  </cellStyles>
  <dxfs count="1">
    <dxf>
      <font>
        <name val="Calibri"/>
        <family val="2"/>
        <strike val="0"/>
        <outline val="0"/>
        <shadow val="0"/>
        <condense val="0"/>
        <color rgb="FF3F3F76"/>
        <extend val="0"/>
        <sz val="11"/>
        <vertAlign val="baseline"/>
      </font>
      <numFmt numFmtId="3" formatCode="#,##0"/>
      <fill>
        <patternFill patternType="solid">
          <fgColor indexed="64"/>
          <bgColor rgb="FFFFCC99"/>
        </patternFill>
      </fill>
      <alignment horizontal="right" vertical="botto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M7" headerRowCount="1" totalsRowShown="0">
  <autoFilter ref="A1:M7"/>
  <tableColumns count="13">
    <tableColumn id="1" name="hardware_utilization_strategy"/>
    <tableColumn id="2" name="device"/>
    <tableColumn id="3" name="run_mode"/>
    <tableColumn id="4" name="n_nodes"/>
    <tableColumn id="5" name="n_mpi_procs"/>
    <tableColumn id="6" name="n_omp_threads"/>
    <tableColumn id="7" name="n_gpus"/>
    <tableColumn id="13" name="hpc_ensemble_partition" dataDxfId="0"/>
    <tableColumn id="8" name="total_MPI_ranks"/>
    <tableColumn id="9" name="total_OpenMP_threads"/>
    <tableColumn id="10" name="total_devices"/>
    <tableColumn id="11" name="devices_per_node"/>
    <tableColumn id="12" name="select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N7"/>
  <sheetViews>
    <sheetView tabSelected="1" workbookViewId="0">
      <selection activeCell="H6" sqref="H6"/>
    </sheetView>
  </sheetViews>
  <sheetFormatPr baseColWidth="8" defaultRowHeight="15"/>
  <cols>
    <col width="29.85546875" bestFit="1" customWidth="1" min="1" max="1"/>
    <col width="9.28515625" bestFit="1" customWidth="1" min="2" max="2"/>
    <col width="15.140625" bestFit="1" customWidth="1" min="3" max="3"/>
    <col width="10.85546875" bestFit="1" customWidth="1" style="13" min="4" max="4"/>
    <col width="22.42578125" bestFit="1" customWidth="1" style="13" min="5" max="5"/>
    <col width="28.28515625" bestFit="1" customWidth="1" style="13" min="6" max="7"/>
    <col width="28.28515625" customWidth="1" style="13" min="8" max="8"/>
    <col width="18.140625" bestFit="1" customWidth="1" style="13" min="9" max="9"/>
    <col width="24.7109375" bestFit="1" customWidth="1" style="13" min="10" max="10"/>
    <col width="19" bestFit="1" customWidth="1" style="13" min="11" max="11"/>
    <col width="19.85546875" bestFit="1" customWidth="1" style="13" min="12" max="12"/>
    <col width="13.5703125" bestFit="1" customWidth="1" min="13" max="13"/>
  </cols>
  <sheetData>
    <row r="1" ht="18.75" customHeight="1">
      <c r="A1" t="inlineStr">
        <is>
          <t>member_id</t>
        </is>
      </c>
      <c r="B1" s="1" t="inlineStr">
        <is>
          <t>hardware_utilization_strategy</t>
        </is>
      </c>
      <c r="C1" s="2" t="inlineStr">
        <is>
          <t>device</t>
        </is>
      </c>
      <c r="D1" s="2" t="inlineStr">
        <is>
          <t>run_mode</t>
        </is>
      </c>
      <c r="E1" s="3" t="inlineStr">
        <is>
          <t>n_nodes</t>
        </is>
      </c>
      <c r="F1" s="3" t="inlineStr">
        <is>
          <t>n_mpi_procs</t>
        </is>
      </c>
      <c r="G1" s="3" t="inlineStr">
        <is>
          <t>n_omp_threads</t>
        </is>
      </c>
      <c r="H1" s="3" t="inlineStr">
        <is>
          <t>n_gpus</t>
        </is>
      </c>
      <c r="I1" s="3" t="inlineStr">
        <is>
          <t>hpc_ensemble_partition</t>
        </is>
      </c>
      <c r="J1" s="3" t="inlineStr">
        <is>
          <t>total_MPI_ranks</t>
        </is>
      </c>
      <c r="K1" s="3" t="inlineStr">
        <is>
          <t>total_OpenMP_threads</t>
        </is>
      </c>
      <c r="L1" s="3" t="inlineStr">
        <is>
          <t>total_devices</t>
        </is>
      </c>
      <c r="M1" s="4" t="inlineStr">
        <is>
          <t>devices_per_node</t>
        </is>
      </c>
      <c r="N1" s="2" t="inlineStr">
        <is>
          <t>selected</t>
        </is>
      </c>
    </row>
    <row r="2" ht="19.5" customHeight="1">
      <c r="A2" t="n">
        <v>0</v>
      </c>
      <c r="B2" s="5" t="inlineStr">
        <is>
          <t>Multi-CPU - MPI</t>
        </is>
      </c>
      <c r="C2" s="6" t="inlineStr">
        <is>
          <t>CPU</t>
        </is>
      </c>
      <c r="D2" s="7" t="inlineStr">
        <is>
          <t>mpi</t>
        </is>
      </c>
      <c r="E2" s="8" t="n">
        <v>1</v>
      </c>
      <c r="F2" s="8" t="n">
        <v>2</v>
      </c>
      <c r="G2" s="8" t="n">
        <v>1</v>
      </c>
      <c r="H2" s="8" t="n">
        <v>0</v>
      </c>
      <c r="I2" s="8" t="inlineStr">
        <is>
          <t>standard</t>
        </is>
      </c>
      <c r="J2" s="9">
        <f>Table1[[#This Row], [n_mpi_procs]]*Table1[[#This Row], [n_nodes]]</f>
        <v/>
      </c>
      <c r="K2" s="9">
        <f>Table1[[#This Row], [total_MPI_ranks]]*Table1[[#This Row], [n_omp_threads]]</f>
        <v/>
      </c>
      <c r="L2" s="9">
        <f>Table1[[#This Row], [n_omp_threads]]*Table1[[#This Row], [n_mpi_procs]]*Table1[[#This Row], [n_nodes]]</f>
        <v/>
      </c>
      <c r="M2" s="10">
        <f>Table1[[#This Row], [total_devices]]/Table1[[#This Row], [n_nodes]]</f>
        <v/>
      </c>
      <c r="N2" s="11" t="inlineStr">
        <is>
          <t>true</t>
        </is>
      </c>
    </row>
    <row r="3" ht="19.5" customHeight="1">
      <c r="A3" t="n">
        <v>1</v>
      </c>
      <c r="B3" s="5" t="inlineStr">
        <is>
          <t>Multi-CPU - OMP</t>
        </is>
      </c>
      <c r="C3" s="6" t="inlineStr">
        <is>
          <t>CPU</t>
        </is>
      </c>
      <c r="D3" s="7" t="inlineStr">
        <is>
          <t>openmp</t>
        </is>
      </c>
      <c r="E3" s="8" t="n">
        <v>1</v>
      </c>
      <c r="F3" s="8" t="n">
        <v>1</v>
      </c>
      <c r="G3" s="8" t="n">
        <v>2</v>
      </c>
      <c r="H3" s="8" t="n">
        <v>0</v>
      </c>
      <c r="I3" s="8" t="inlineStr">
        <is>
          <t>standard</t>
        </is>
      </c>
      <c r="J3" s="9">
        <f>Table1[[#This Row], [n_mpi_procs]]*Table1[[#This Row], [n_nodes]]</f>
        <v/>
      </c>
      <c r="K3" s="9">
        <f>Table1[[#This Row], [total_MPI_ranks]]*Table1[[#This Row], [n_omp_threads]]</f>
        <v/>
      </c>
      <c r="L3" s="9">
        <f>Table1[[#This Row], [n_omp_threads]]*Table1[[#This Row], [n_mpi_procs]]*Table1[[#This Row], [n_nodes]]</f>
        <v/>
      </c>
      <c r="M3" s="10">
        <f>Table1[[#This Row], [total_devices]]/Table1[[#This Row], [n_nodes]]</f>
        <v/>
      </c>
      <c r="N3" s="12" t="inlineStr">
        <is>
          <t>true</t>
        </is>
      </c>
    </row>
    <row r="4" ht="19.5" customHeight="1">
      <c r="A4" t="n">
        <v>2</v>
      </c>
      <c r="B4" s="5" t="inlineStr">
        <is>
          <t>Multi-CPU - HYB</t>
        </is>
      </c>
      <c r="C4" s="6" t="inlineStr">
        <is>
          <t>CPU</t>
        </is>
      </c>
      <c r="D4" s="7" t="inlineStr">
        <is>
          <t>hybrid</t>
        </is>
      </c>
      <c r="E4" s="8" t="n">
        <v>1</v>
      </c>
      <c r="F4" s="8" t="n">
        <v>2</v>
      </c>
      <c r="G4" s="8" t="n">
        <v>2</v>
      </c>
      <c r="H4" s="8" t="n">
        <v>0</v>
      </c>
      <c r="I4" s="8" t="inlineStr">
        <is>
          <t>standard</t>
        </is>
      </c>
      <c r="J4" s="9">
        <f>Table1[[#This Row], [n_mpi_procs]]*Table1[[#This Row], [n_nodes]]</f>
        <v/>
      </c>
      <c r="K4" s="9">
        <f>Table1[[#This Row], [total_MPI_ranks]]*Table1[[#This Row], [n_omp_threads]]</f>
        <v/>
      </c>
      <c r="L4" s="9">
        <f>Table1[[#This Row], [n_omp_threads]]*Table1[[#This Row], [n_mpi_procs]]*Table1[[#This Row], [n_nodes]]</f>
        <v/>
      </c>
      <c r="M4" s="10">
        <f>Table1[[#This Row], [total_devices]]/Table1[[#This Row], [n_nodes]]</f>
        <v/>
      </c>
      <c r="N4" s="12" t="inlineStr">
        <is>
          <t>true</t>
        </is>
      </c>
    </row>
    <row r="5" ht="19.5" customHeight="1">
      <c r="A5" t="n">
        <v>3</v>
      </c>
      <c r="B5" s="5" t="inlineStr">
        <is>
          <t>Baseline - 1 CPU</t>
        </is>
      </c>
      <c r="C5" s="6" t="inlineStr">
        <is>
          <t>CPU</t>
        </is>
      </c>
      <c r="D5" s="7" t="inlineStr">
        <is>
          <t>serial</t>
        </is>
      </c>
      <c r="E5" s="8" t="n">
        <v>1</v>
      </c>
      <c r="F5" s="8" t="n">
        <v>1</v>
      </c>
      <c r="G5" s="8" t="n">
        <v>1</v>
      </c>
      <c r="H5" s="8" t="n">
        <v>0</v>
      </c>
      <c r="I5" s="8" t="inlineStr">
        <is>
          <t>standard</t>
        </is>
      </c>
      <c r="J5" s="9">
        <f>Table1[[#This Row], [n_mpi_procs]]*Table1[[#This Row], [n_nodes]]</f>
        <v/>
      </c>
      <c r="K5" s="9">
        <f>Table1[[#This Row], [total_MPI_ranks]]*Table1[[#This Row], [n_omp_threads]]</f>
        <v/>
      </c>
      <c r="L5" s="9">
        <f>Table1[[#This Row], [n_omp_threads]]*Table1[[#This Row], [n_mpi_procs]]*Table1[[#This Row], [n_nodes]]</f>
        <v/>
      </c>
      <c r="M5" s="10">
        <f>Table1[[#This Row], [total_devices]]/Table1[[#This Row], [n_nodes]]</f>
        <v/>
      </c>
      <c r="N5" s="12" t="inlineStr">
        <is>
          <t>true</t>
        </is>
      </c>
    </row>
    <row r="6">
      <c r="A6" t="n">
        <v>4</v>
      </c>
      <c r="B6" s="5" t="inlineStr">
        <is>
          <t>Single GPU</t>
        </is>
      </c>
      <c r="C6" s="6" t="inlineStr">
        <is>
          <t>GPU</t>
        </is>
      </c>
      <c r="D6" s="7" t="inlineStr">
        <is>
          <t>gpu</t>
        </is>
      </c>
      <c r="E6" s="8" t="n">
        <v>1</v>
      </c>
      <c r="F6" s="8" t="n">
        <v>1</v>
      </c>
      <c r="G6" s="8" t="n">
        <v>1</v>
      </c>
      <c r="H6" s="8" t="n">
        <v>1</v>
      </c>
      <c r="I6" s="8" t="inlineStr">
        <is>
          <t>gpu</t>
        </is>
      </c>
      <c r="J6" s="9">
        <f>Table1[[#This Row], [n_mpi_procs]]*Table1[[#This Row], [n_nodes]]</f>
        <v/>
      </c>
      <c r="K6" s="9">
        <f>Table1[[#This Row], [total_MPI_ranks]]*Table1[[#This Row], [n_omp_threads]]</f>
        <v/>
      </c>
      <c r="L6" s="9">
        <f>Table1[[#This Row], [n_omp_threads]]*Table1[[#This Row], [n_mpi_procs]]*Table1[[#This Row], [n_nodes]]</f>
        <v/>
      </c>
      <c r="M6" s="10">
        <f>Table1[[#This Row], [total_devices]]/Table1[[#This Row], [n_nodes]]</f>
        <v/>
      </c>
      <c r="N6" s="12" t="inlineStr">
        <is>
          <t>true</t>
        </is>
      </c>
    </row>
    <row r="7">
      <c r="A7" t="n">
        <v>5</v>
      </c>
      <c r="B7" s="14" t="inlineStr">
        <is>
          <t>Multi-GPU</t>
        </is>
      </c>
      <c r="C7" s="15" t="inlineStr">
        <is>
          <t>GPU</t>
        </is>
      </c>
      <c r="D7" s="16" t="inlineStr">
        <is>
          <t>gpu</t>
        </is>
      </c>
      <c r="E7" s="17" t="n">
        <v>1</v>
      </c>
      <c r="F7" s="17" t="n">
        <v>2</v>
      </c>
      <c r="G7" s="17" t="n">
        <v>1</v>
      </c>
      <c r="H7" s="17" t="n">
        <v>2</v>
      </c>
      <c r="I7" s="8" t="inlineStr">
        <is>
          <t>gpu</t>
        </is>
      </c>
      <c r="J7" s="9">
        <f>Table1[[#This Row], [n_mpi_procs]]*Table1[[#This Row], [n_nodes]]</f>
        <v/>
      </c>
      <c r="K7" s="9">
        <f>Table1[[#This Row], [total_MPI_ranks]]*Table1[[#This Row], [n_omp_threads]]</f>
        <v/>
      </c>
      <c r="L7" s="9">
        <f>Table1[[#This Row], [n_omp_threads]]*Table1[[#This Row], [n_mpi_procs]]*Table1[[#This Row], [n_nodes]]</f>
        <v/>
      </c>
      <c r="M7" s="10">
        <f>Table1[[#This Row], [total_devices]]/Table1[[#This Row], [n_nodes]]</f>
        <v/>
      </c>
      <c r="N7" s="12" t="inlineStr">
        <is>
          <t>true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2026-01-20T14:41:09Z</dcterms:created>
  <dcterms:modified xmlns:dcterms="http://purl.org/dc/terms/" xmlns:xsi="http://www.w3.org/2001/XMLSchema-instance" xsi:type="dcterms:W3CDTF">2026-08-30T23:35:56Z</dcterms:modified>
  <cp:lastModifiedBy>Lassiter, Daniel Charles (dcl3nd)</cp:lastModifiedBy>
</cp:coreProperties>
</file>