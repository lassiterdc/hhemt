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6B338B57-E446-49CB-9370-DABCEAFCF9BB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J6" i="1"/>
  <c r="K6" i="1"/>
  <c r="L6" i="1" s="1"/>
  <c r="I7" i="1"/>
  <c r="J7" i="1"/>
  <c r="K7" i="1"/>
  <c r="L7" i="1" s="1"/>
  <c r="K5" i="1"/>
  <c r="L5" i="1" s="1"/>
  <c r="I5" i="1"/>
  <c r="J5" i="1" s="1"/>
  <c r="K4" i="1"/>
  <c r="L4" i="1" s="1"/>
  <c r="I4" i="1"/>
  <c r="J4" i="1" s="1"/>
  <c r="K3" i="1"/>
  <c r="L3" i="1" s="1"/>
  <c r="I3" i="1"/>
  <c r="J3" i="1" s="1"/>
  <c r="K2" i="1"/>
  <c r="L2" i="1" s="1"/>
  <c r="I2" i="1"/>
  <c r="J2" i="1" s="1"/>
</calcChain>
</file>

<file path=xl/sharedStrings.xml><?xml version="1.0" encoding="utf-8"?>
<sst xmlns="http://schemas.openxmlformats.org/spreadsheetml/2006/main" count="43" uniqueCount="28">
  <si>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</si>
  <si>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</si>
  <si>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</si>
  <si>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</si>
  <si>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</si>
  <si>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</si>
  <si>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</si>
  <si>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total_MPI_ranks</t>
  </si>
  <si>
    <t>total_OpenMP_threads</t>
  </si>
  <si>
    <t>total_devices</t>
  </si>
  <si>
    <t>devices_per_node</t>
  </si>
  <si>
    <t>selected</t>
  </si>
  <si>
    <t>Multi-CPU - MPI</t>
  </si>
  <si>
    <t>CPU</t>
  </si>
  <si>
    <t>mpi</t>
  </si>
  <si>
    <t>true</t>
  </si>
  <si>
    <t>Multi-CPU - OMP</t>
  </si>
  <si>
    <t>openmp</t>
  </si>
  <si>
    <t>Multi-CPU - HYB</t>
  </si>
  <si>
    <t>hybrid</t>
  </si>
  <si>
    <t>Baseline - 1 CPU</t>
  </si>
  <si>
    <t>serial</t>
  </si>
  <si>
    <t>gpu</t>
  </si>
  <si>
    <t>hpc_ensemble_partition</t>
  </si>
  <si>
    <t>standard</t>
  </si>
  <si>
    <t>Single GPU</t>
  </si>
  <si>
    <t>Multi-GPU</t>
  </si>
  <si>
    <t>GPU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</si>
</sst>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10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2" fillId="3" borderId="5" xfId="0" applyFont="1" applyFill="1" applyBorder="1" applyAlignment="1">
      <alignment horizontal="left"/>
    </xf>
    <xf numFmtId="3" fontId="2" fillId="3" borderId="5" xfId="0" applyNumberFormat="1" applyFont="1" applyFill="1" applyBorder="1" applyAlignment="1">
      <alignment horizontal="right"/>
    </xf>
    <xf numFmtId="3" fontId="3" fillId="4" borderId="5" xfId="0" applyNumberFormat="1" applyFont="1" applyFill="1" applyBorder="1" applyAlignment="1">
      <alignment horizontal="right"/>
    </xf>
    <xf numFmtId="3" fontId="3" fillId="4" borderId="6" xfId="0" applyNumberFormat="1" applyFont="1" applyFill="1" applyBorder="1" applyAlignment="1">
      <alignment horizontal="right"/>
    </xf>
    <xf numFmtId="0" fontId="3" fillId="4" borderId="7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2" borderId="8" xfId="0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0" fontId="2" fillId="3" borderId="9" xfId="0" applyFont="1" applyFill="1" applyBorder="1" applyAlignment="1">
      <alignment horizontal="left"/>
    </xf>
    <xf numFmtId="3" fontId="2" fillId="3" borderId="9" xfId="0" applyNumberFormat="1" applyFont="1" applyFill="1" applyBorder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M7" totalsRowShown="0">
  <autoFilter ref="A1:M7" xr:uid="{00000000-0009-0000-0100-000001000000}"/>
  <tableColumns count="13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13" xr3:uid="{53FAA683-79A9-4951-BF68-83700038BBE4}" name="hpc_ensemble_partition" dataDxfId="0"/>
    <tableColumn id="8" xr3:uid="{00000000-0010-0000-0000-000008000000}" name="total_MPI_ranks"/>
    <tableColumn id="9" xr3:uid="{00000000-0010-0000-0000-000009000000}" name="total_OpenMP_threads"/>
    <tableColumn id="10" xr3:uid="{00000000-0010-0000-0000-00000A000000}" name="total_devices"/>
    <tableColumn id="11" xr3:uid="{00000000-0010-0000-0000-00000B000000}" name="devices_per_node"/>
    <tableColumn id="12" xr3:uid="{00000000-0010-0000-0000-00000C000000}" name="selecte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7"/>
  <sheetViews>
    <sheetView tabSelected="1" workbookViewId="0">
      <selection activeCell="H6" sqref="H6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15.140625" bestFit="1" customWidth="1"/>
    <col min="4" max="4" width="10.85546875" style="13" bestFit="1" customWidth="1"/>
    <col min="5" max="5" width="22.42578125" style="13" bestFit="1" customWidth="1"/>
    <col min="6" max="7" width="28.28515625" style="13" bestFit="1" customWidth="1"/>
    <col min="8" max="8" width="28.28515625" style="13" customWidth="1"/>
    <col min="9" max="9" width="18.140625" style="13" bestFit="1" customWidth="1"/>
    <col min="10" max="10" width="24.7109375" style="13" bestFit="1" customWidth="1"/>
    <col min="11" max="11" width="19" style="13" bestFit="1" customWidth="1"/>
    <col min="12" max="12" width="19.85546875" style="13" bestFit="1" customWidth="1"/>
    <col min="13" max="13" width="13.5703125" bestFit="1" customWidth="1"/>
  </cols>
  <sheetData>
    <row r="1" spans="1:13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23</v>
      </c>
      <c r="I1" s="3" t="s">
        <v>7</v>
      </c>
      <c r="J1" s="3" t="s">
        <v>8</v>
      </c>
      <c r="K1" s="3" t="s">
        <v>9</v>
      </c>
      <c r="L1" s="4" t="s">
        <v>10</v>
      </c>
      <c r="M1" s="2" t="s">
        <v>11</v>
      </c>
    </row>
    <row r="2" spans="1:13" ht="19.5" customHeight="1" x14ac:dyDescent="0.25">
      <c r="A2" s="5" t="s">
        <v>12</v>
      </c>
      <c r="B2" s="6" t="s">
        <v>13</v>
      </c>
      <c r="C2" s="7" t="s">
        <v>14</v>
      </c>
      <c r="D2" s="8">
        <v>1</v>
      </c>
      <c r="E2" s="8">
        <v>2</v>
      </c>
      <c r="F2" s="8">
        <v>1</v>
      </c>
      <c r="G2" s="8">
        <v>0</v>
      </c>
      <c r="H2" s="8" t="s">
        <v>24</v>
      </c>
      <c r="I2" s="9">
        <f>Table1[[#This Row], [n_mpi_procs]]*Table1[[#This Row], [n_nodes]]</f>
        <v>2</v>
      </c>
      <c r="J2" s="9">
        <f>Table1[[#This Row], [total_MPI_ranks]]*Table1[[#This Row], [n_omp_threads]]</f>
        <v>2</v>
      </c>
      <c r="K2" s="9">
        <f>Table1[[#This Row], [n_omp_threads]]*Table1[[#This Row], [n_mpi_procs]]*Table1[[#This Row], [n_nodes]]</f>
        <v>2</v>
      </c>
      <c r="L2" s="10">
        <f>Table1[[#This Row], [total_devices]]/Table1[[#This Row], [n_nodes]]</f>
        <v>2</v>
      </c>
      <c r="M2" s="11" t="s">
        <v>15</v>
      </c>
    </row>
    <row r="3" spans="1:13" ht="19.5" customHeight="1" x14ac:dyDescent="0.25">
      <c r="A3" s="5" t="s">
        <v>16</v>
      </c>
      <c r="B3" s="6" t="s">
        <v>13</v>
      </c>
      <c r="C3" s="7" t="s">
        <v>17</v>
      </c>
      <c r="D3" s="8">
        <v>1</v>
      </c>
      <c r="E3" s="8">
        <v>1</v>
      </c>
      <c r="F3" s="8">
        <v>2</v>
      </c>
      <c r="G3" s="8">
        <v>0</v>
      </c>
      <c r="H3" s="8" t="s">
        <v>24</v>
      </c>
      <c r="I3" s="9">
        <f>Table1[[#This Row], [n_mpi_procs]]*Table1[[#This Row], [n_nodes]]</f>
        <v>1</v>
      </c>
      <c r="J3" s="9">
        <f>Table1[[#This Row], [total_MPI_ranks]]*Table1[[#This Row], [n_omp_threads]]</f>
        <v>2</v>
      </c>
      <c r="K3" s="9">
        <f>Table1[[#This Row], [n_omp_threads]]*Table1[[#This Row], [n_mpi_procs]]*Table1[[#This Row], [n_nodes]]</f>
        <v>2</v>
      </c>
      <c r="L3" s="10">
        <f>Table1[[#This Row], [total_devices]]/Table1[[#This Row], [n_nodes]]</f>
        <v>2</v>
      </c>
      <c r="M3" s="12" t="s">
        <v>15</v>
      </c>
    </row>
    <row r="4" spans="1:13" ht="19.5" customHeight="1" x14ac:dyDescent="0.25">
      <c r="A4" s="5" t="s">
        <v>18</v>
      </c>
      <c r="B4" s="6" t="s">
        <v>13</v>
      </c>
      <c r="C4" s="7" t="s">
        <v>19</v>
      </c>
      <c r="D4" s="8">
        <v>1</v>
      </c>
      <c r="E4" s="8">
        <v>2</v>
      </c>
      <c r="F4" s="8">
        <v>2</v>
      </c>
      <c r="G4" s="8">
        <v>0</v>
      </c>
      <c r="H4" s="8" t="s">
        <v>24</v>
      </c>
      <c r="I4" s="9">
        <f>Table1[[#This Row], [n_mpi_procs]]*Table1[[#This Row], [n_nodes]]</f>
        <v>2</v>
      </c>
      <c r="J4" s="9">
        <f>Table1[[#This Row], [total_MPI_ranks]]*Table1[[#This Row], [n_omp_threads]]</f>
        <v>4</v>
      </c>
      <c r="K4" s="9">
        <f>Table1[[#This Row], [n_omp_threads]]*Table1[[#This Row], [n_mpi_procs]]*Table1[[#This Row], [n_nodes]]</f>
        <v>4</v>
      </c>
      <c r="L4" s="10">
        <f>Table1[[#This Row], [total_devices]]/Table1[[#This Row], [n_nodes]]</f>
        <v>4</v>
      </c>
      <c r="M4" s="12" t="s">
        <v>15</v>
      </c>
    </row>
    <row r="5" spans="1:13" ht="19.5" customHeight="1" x14ac:dyDescent="0.25">
      <c r="A5" s="5" t="s">
        <v>20</v>
      </c>
      <c r="B5" s="6" t="s">
        <v>13</v>
      </c>
      <c r="C5" s="7" t="s">
        <v>21</v>
      </c>
      <c r="D5" s="8">
        <v>1</v>
      </c>
      <c r="E5" s="8">
        <v>1</v>
      </c>
      <c r="F5" s="8">
        <v>1</v>
      </c>
      <c r="G5" s="8">
        <v>0</v>
      </c>
      <c r="H5" s="8" t="s">
        <v>24</v>
      </c>
      <c r="I5" s="9">
        <f>Table1[[#This Row], [n_mpi_procs]]*Table1[[#This Row], [n_nodes]]</f>
        <v>1</v>
      </c>
      <c r="J5" s="9">
        <f>Table1[[#This Row], [total_MPI_ranks]]*Table1[[#This Row], [n_omp_threads]]</f>
        <v>1</v>
      </c>
      <c r="K5" s="9">
        <f>Table1[[#This Row], [n_omp_threads]]*Table1[[#This Row], [n_mpi_procs]]*Table1[[#This Row], [n_nodes]]</f>
        <v>1</v>
      </c>
      <c r="L5" s="10">
        <f>Table1[[#This Row], [total_devices]]/Table1[[#This Row], [n_nodes]]</f>
        <v>1</v>
      </c>
      <c r="M5" s="12" t="s">
        <v>15</v>
      </c>
    </row>
    <row r="6" spans="1:13" x14ac:dyDescent="0.25">
      <c r="A6" s="5" t="s">
        <v>25</v>
      </c>
      <c r="B6" s="6" t="s">
        <v>27</v>
      </c>
      <c r="C6" s="7" t="s">
        <v>22</v>
      </c>
      <c r="D6" s="8">
        <v>1</v>
      </c>
      <c r="E6" s="8">
        <v>1</v>
      </c>
      <c r="F6" s="8">
        <v>1</v>
      </c>
      <c r="G6" s="8">
        <v>1</v>
      </c>
      <c r="H6" s="8" t="s">
        <v>22</v>
      </c>
      <c r="I6" s="9">
        <f>Table1[[#This Row], [n_mpi_procs]]*Table1[[#This Row], [n_nodes]]</f>
        <v>1</v>
      </c>
      <c r="J6" s="9">
        <f>Table1[[#This Row], [total_MPI_ranks]]*Table1[[#This Row], [n_omp_threads]]</f>
        <v>1</v>
      </c>
      <c r="K6" s="9">
        <f>Table1[[#This Row], [n_omp_threads]]*Table1[[#This Row], [n_mpi_procs]]*Table1[[#This Row], [n_nodes]]</f>
        <v>1</v>
      </c>
      <c r="L6" s="10">
        <f>Table1[[#This Row], [total_devices]]/Table1[[#This Row], [n_nodes]]</f>
        <v>1</v>
      </c>
      <c r="M6" s="12" t="s">
        <v>15</v>
      </c>
    </row>
    <row r="7" spans="1:13" x14ac:dyDescent="0.25">
      <c r="A7" s="14" t="s">
        <v>26</v>
      </c>
      <c r="B7" s="15" t="s">
        <v>27</v>
      </c>
      <c r="C7" s="16" t="s">
        <v>22</v>
      </c>
      <c r="D7" s="17">
        <v>1</v>
      </c>
      <c r="E7" s="17">
        <v>2</v>
      </c>
      <c r="F7" s="17">
        <v>1</v>
      </c>
      <c r="G7" s="17">
        <v>2</v>
      </c>
      <c r="H7" s="8" t="s">
        <v>22</v>
      </c>
      <c r="I7" s="9">
        <f>Table1[[#This Row], [n_mpi_procs]]*Table1[[#This Row], [n_nodes]]</f>
        <v>2</v>
      </c>
      <c r="J7" s="9">
        <f>Table1[[#This Row], [total_MPI_ranks]]*Table1[[#This Row], [n_omp_threads]]</f>
        <v>2</v>
      </c>
      <c r="K7" s="9">
        <f>Table1[[#This Row], [n_omp_threads]]*Table1[[#This Row], [n_mpi_procs]]*Table1[[#This Row], [n_nodes]]</f>
        <v>2</v>
      </c>
      <c r="L7" s="10">
        <f>Table1[[#This Row], [total_devices]]/Table1[[#This Row], [n_nodes]]</f>
        <v>2</v>
      </c>
      <c r="M7" s="12" t="s">
        <v>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Lassiter, Daniel Charles (dcl3nd)</cp:lastModifiedBy>
  <dcterms:created xsi:type="dcterms:W3CDTF">2026-01-20T14:41:09Z</dcterms:created>
  <dcterms:modified xsi:type="dcterms:W3CDTF">2026-02-11T22:52:40Z</dcterms:modified>
</cp:coreProperties>
</file>