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0EE793E4-EE03-4410-9199-BC92D0B0BAA4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1" l="1"/>
  <c r="K3" i="1" s="1"/>
  <c r="I3" i="1"/>
  <c r="J30" i="1"/>
  <c r="K30" i="1" s="1"/>
  <c r="I30" i="1"/>
  <c r="J25" i="1"/>
  <c r="K25" i="1" s="1"/>
  <c r="I25" i="1"/>
  <c r="J20" i="1"/>
  <c r="K20" i="1" s="1"/>
  <c r="I20" i="1"/>
  <c r="J11" i="1"/>
  <c r="K11" i="1" s="1"/>
  <c r="I11" i="1"/>
  <c r="J6" i="1"/>
  <c r="K6" i="1" s="1"/>
  <c r="I6" i="1"/>
  <c r="J24" i="1"/>
  <c r="K24" i="1" s="1"/>
  <c r="I24" i="1"/>
  <c r="J19" i="1"/>
  <c r="K19" i="1" s="1"/>
  <c r="I19" i="1"/>
  <c r="J10" i="1"/>
  <c r="K10" i="1" s="1"/>
  <c r="I10" i="1"/>
  <c r="J5" i="1"/>
  <c r="K5" i="1" s="1"/>
  <c r="I5" i="1"/>
  <c r="J37" i="1"/>
  <c r="K37" i="1" s="1"/>
  <c r="I37" i="1"/>
  <c r="J36" i="1"/>
  <c r="K36" i="1" s="1"/>
  <c r="I36" i="1"/>
  <c r="J35" i="1"/>
  <c r="K35" i="1" s="1"/>
  <c r="I35" i="1"/>
  <c r="J34" i="1"/>
  <c r="K34" i="1" s="1"/>
  <c r="I34" i="1"/>
  <c r="J33" i="1"/>
  <c r="K33" i="1" s="1"/>
  <c r="I33" i="1"/>
  <c r="J32" i="1"/>
  <c r="K32" i="1" s="1"/>
  <c r="I32" i="1"/>
  <c r="J31" i="1"/>
  <c r="K31" i="1" s="1"/>
  <c r="I31" i="1"/>
  <c r="J29" i="1"/>
  <c r="K29" i="1" s="1"/>
  <c r="I29" i="1"/>
  <c r="J28" i="1"/>
  <c r="K28" i="1" s="1"/>
  <c r="I28" i="1"/>
  <c r="J27" i="1"/>
  <c r="K27" i="1" s="1"/>
  <c r="I27" i="1"/>
  <c r="J26" i="1"/>
  <c r="K26" i="1" s="1"/>
  <c r="I26" i="1"/>
  <c r="J23" i="1"/>
  <c r="K23" i="1" s="1"/>
  <c r="I23" i="1"/>
  <c r="J22" i="1"/>
  <c r="K22" i="1" s="1"/>
  <c r="I22" i="1"/>
  <c r="J21" i="1"/>
  <c r="K21" i="1" s="1"/>
  <c r="I21" i="1"/>
  <c r="J18" i="1"/>
  <c r="K18" i="1" s="1"/>
  <c r="I18" i="1"/>
  <c r="J17" i="1"/>
  <c r="K17" i="1" s="1"/>
  <c r="I17" i="1"/>
  <c r="J9" i="1"/>
  <c r="K9" i="1" s="1"/>
  <c r="I9" i="1"/>
  <c r="J16" i="1"/>
  <c r="K16" i="1" s="1"/>
  <c r="I16" i="1"/>
  <c r="J15" i="1"/>
  <c r="K15" i="1" s="1"/>
  <c r="I15" i="1"/>
  <c r="J14" i="1"/>
  <c r="K14" i="1" s="1"/>
  <c r="I14" i="1"/>
  <c r="J13" i="1"/>
  <c r="K13" i="1" s="1"/>
  <c r="I13" i="1"/>
  <c r="J12" i="1"/>
  <c r="K12" i="1" s="1"/>
  <c r="I12" i="1"/>
  <c r="J8" i="1"/>
  <c r="K8" i="1" s="1"/>
  <c r="I8" i="1"/>
  <c r="J7" i="1"/>
  <c r="K7" i="1" s="1"/>
  <c r="I7" i="1"/>
  <c r="J4" i="1"/>
  <c r="K4" i="1" s="1"/>
  <c r="I4" i="1"/>
  <c r="J2" i="1"/>
  <c r="K2" i="1" s="1"/>
  <c r="I2" i="1"/>
</calcChain>
</file>

<file path=xl/sharedStrings.xml><?xml version="1.0" encoding="utf-8"?>
<sst xmlns="http://schemas.openxmlformats.org/spreadsheetml/2006/main" count="119" uniqueCount="22">
  <si>
    <t>CPU</t>
  </si>
  <si>
    <t>GPU</t>
  </si>
  <si>
    <t>Baseline - 1 CPU</t>
  </si>
  <si>
    <t>Multi-CPU - OMP</t>
  </si>
  <si>
    <t>Multi-CPU - MPI</t>
  </si>
  <si>
    <t>Multi-CPU - HYB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</si>
  <si>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</si>
  <si>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</si>
  <si>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</si>
  <si>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</si>
  <si>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</si>
  <si>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</si>
  <si>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</si>
  <si>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</si>
  <si>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</si>
  <si>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</si>
  <si>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</si>
  <si>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hybrid</t>
  </si>
  <si>
    <t>mpi</t>
  </si>
  <si>
    <t>openmp</t>
  </si>
  <si>
    <t>gpu</t>
  </si>
  <si>
    <t>mem_gb_per_cpu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</si>
</sst>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3F3F76"/>
      <name val="Calibri"/>
      <family val="2"/>
    </font>
    <font>
      <b/>
      <sz val="11"/>
      <color rgb="FF3F3F3F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C6C6C6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left"/>
    </xf>
    <xf numFmtId="0" fontId="1" fillId="0" borderId="2" xfId="0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left"/>
    </xf>
    <xf numFmtId="3" fontId="1" fillId="0" borderId="3" xfId="0" applyNumberFormat="1" applyFont="1" applyBorder="1" applyAlignment="1">
      <alignment horizontal="left"/>
    </xf>
    <xf numFmtId="0" fontId="1" fillId="4" borderId="4" xfId="0" applyFont="1" applyFill="1" applyBorder="1" applyAlignment="1">
      <alignment horizontal="left"/>
    </xf>
    <xf numFmtId="0" fontId="1" fillId="4" borderId="5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right"/>
    </xf>
    <xf numFmtId="3" fontId="3" fillId="2" borderId="5" xfId="0" applyNumberFormat="1" applyFont="1" applyFill="1" applyBorder="1" applyAlignment="1">
      <alignment horizontal="right"/>
    </xf>
    <xf numFmtId="0" fontId="3" fillId="2" borderId="5" xfId="0" applyFont="1" applyFill="1" applyBorder="1" applyAlignment="1">
      <alignment horizontal="left"/>
    </xf>
    <xf numFmtId="3" fontId="4" fillId="3" borderId="5" xfId="0" applyNumberFormat="1" applyFont="1" applyFill="1" applyBorder="1" applyAlignment="1">
      <alignment horizontal="right"/>
    </xf>
    <xf numFmtId="3" fontId="4" fillId="3" borderId="6" xfId="0" applyNumberFormat="1" applyFont="1" applyFill="1" applyBorder="1" applyAlignment="1">
      <alignment horizontal="right"/>
    </xf>
    <xf numFmtId="0" fontId="2" fillId="4" borderId="4" xfId="0" applyFont="1" applyFill="1" applyBorder="1" applyAlignment="1">
      <alignment horizontal="left"/>
    </xf>
    <xf numFmtId="0" fontId="2" fillId="4" borderId="5" xfId="0" applyFont="1" applyFill="1" applyBorder="1" applyAlignment="1">
      <alignment horizontal="left"/>
    </xf>
    <xf numFmtId="3" fontId="3" fillId="2" borderId="8" xfId="0" applyNumberFormat="1" applyFont="1" applyFill="1" applyBorder="1" applyAlignment="1">
      <alignment horizontal="right"/>
    </xf>
    <xf numFmtId="3" fontId="4" fillId="3" borderId="9" xfId="0" applyNumberFormat="1" applyFont="1" applyFill="1" applyBorder="1" applyAlignment="1">
      <alignment horizontal="right"/>
    </xf>
    <xf numFmtId="0" fontId="1" fillId="4" borderId="7" xfId="0" applyFont="1" applyFill="1" applyBorder="1" applyAlignment="1">
      <alignment horizontal="left"/>
    </xf>
    <xf numFmtId="0" fontId="1" fillId="4" borderId="8" xfId="0" applyFont="1" applyFill="1" applyBorder="1" applyAlignment="1">
      <alignment horizontal="left"/>
    </xf>
  </cellXfs>
  <cellStyles count="1">
    <cellStyle name="Normal" xfId="0" builtinId="0"/>
  </cellStyles>
  <dxfs count="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3F3F76"/>
        <name val="Calibri"/>
        <family val="2"/>
        <scheme val="none"/>
      </font>
      <fill>
        <patternFill patternType="solid">
          <fgColor indexed="64"/>
          <bgColor rgb="FFFFCC99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C099051-1441-4E77-BD0B-262A4DC004A8}" name="Table1" displayName="Table1" ref="A1:K37" totalsRowShown="0">
  <autoFilter ref="A1:K37" xr:uid="{BC099051-1441-4E77-BD0B-262A4DC004A8}"/>
  <sortState xmlns:xlrd2="http://schemas.microsoft.com/office/spreadsheetml/2017/richdata2" ref="A2:K37">
    <sortCondition ref="K1:K37"/>
  </sortState>
  <tableColumns count="11">
    <tableColumn id="1" xr3:uid="{941974C2-F053-42C8-B3FA-394C3B11320A}" name="hardware_utilization_strategy"/>
    <tableColumn id="2" xr3:uid="{EA696286-CA35-4B79-96BE-D9166FEB1610}" name="device"/>
    <tableColumn id="3" xr3:uid="{B8BF4F7E-AF93-4396-BCCB-447D83456B0B}" name="run_mode"/>
    <tableColumn id="4" xr3:uid="{46BB2EEE-36EA-483D-AD5F-ED97B392784D}" name="n_nodes"/>
    <tableColumn id="5" xr3:uid="{66885CD6-BBA5-4A4E-8BF1-7BBC84D4848B}" name="n_mpi_procs"/>
    <tableColumn id="6" xr3:uid="{CA461B20-6595-42D4-8B4F-BD9021B2704C}" name="n_omp_threads"/>
    <tableColumn id="7" xr3:uid="{F824E2E8-AEED-43A4-9E6D-DF1EF007018B}" name="n_gpus"/>
    <tableColumn id="14" xr3:uid="{BAFC1328-F06C-4B06-99D1-A23C76B20691}" name="mem_gb_per_cpu" dataDxfId="0"/>
    <tableColumn id="10" xr3:uid="{0A1FD796-04DE-4C7B-8721-C08CCCD173AD}" name="total_OpenMP_threads">
      <calculatedColumnFormula>Table1[[#This Row], [n_mpi_procs]]*Table1[[#This Row], [n_omp_threads]]</calculatedColumnFormula>
    </tableColumn>
    <tableColumn id="11" xr3:uid="{813B208D-63C3-45D7-A0E3-745BD0EBA7F0}" name="total_devices">
      <calculatedColumnFormula>Table1[[#This Row], [n_omp_threads]]*Table1[[#This Row], [n_mpi_procs]]</calculatedColumnFormula>
    </tableColumn>
    <tableColumn id="12" xr3:uid="{EE4B90D1-D246-40CB-846F-A616F43A9F0E}" name="devices_per_node">
      <calculatedColumnFormula>Table1[[#This Row], [total_devices]]/Table1[[#This Row], 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selection activeCell="D34" sqref="D34"/>
    </sheetView>
  </sheetViews>
  <sheetFormatPr defaultRowHeight="15" x14ac:dyDescent="0.25"/>
  <cols>
    <col min="1" max="1" width="30.42578125" bestFit="1" customWidth="1"/>
    <col min="3" max="3" width="12.42578125" bestFit="1" customWidth="1"/>
    <col min="4" max="4" width="10.85546875" bestFit="1" customWidth="1"/>
    <col min="5" max="5" width="14.5703125" bestFit="1" customWidth="1"/>
    <col min="6" max="6" width="17.28515625" bestFit="1" customWidth="1"/>
    <col min="7" max="7" width="11.5703125" customWidth="1"/>
    <col min="8" max="8" width="19.28515625" bestFit="1" customWidth="1"/>
    <col min="9" max="9" width="24.42578125" bestFit="1" customWidth="1"/>
    <col min="10" max="10" width="15.140625" bestFit="1" customWidth="1"/>
    <col min="11" max="11" width="19.85546875" bestFit="1" customWidth="1"/>
  </cols>
  <sheetData>
    <row r="1" spans="1:11" x14ac:dyDescent="0.25">
      <c r="A1" s="3" t="s">
        <v>7</v>
      </c>
      <c r="B1" s="4" t="s">
        <v>8</v>
      </c>
      <c r="C1" s="4" t="s">
        <v>11</v>
      </c>
      <c r="D1" s="2" t="s">
        <v>12</v>
      </c>
      <c r="E1" s="2" t="s">
        <v>13</v>
      </c>
      <c r="F1" s="2" t="s">
        <v>14</v>
      </c>
      <c r="G1" s="2" t="s">
        <v>15</v>
      </c>
      <c r="H1" s="1" t="s">
        <v>21</v>
      </c>
      <c r="I1" s="5" t="s">
        <v>9</v>
      </c>
      <c r="J1" s="5" t="s">
        <v>10</v>
      </c>
      <c r="K1" s="6" t="s">
        <v>6</v>
      </c>
    </row>
    <row r="2" spans="1:11" x14ac:dyDescent="0.25">
      <c r="A2" s="7" t="s">
        <v>1</v>
      </c>
      <c r="B2" s="8" t="s">
        <v>1</v>
      </c>
      <c r="C2" s="9" t="s">
        <v>20</v>
      </c>
      <c r="D2" s="10">
        <v>1</v>
      </c>
      <c r="E2" s="10">
        <v>1</v>
      </c>
      <c r="F2" s="10">
        <v>1</v>
      </c>
      <c r="G2" s="10">
        <v>1</v>
      </c>
      <c r="H2" s="11">
        <v>8</v>
      </c>
      <c r="I2" s="12">
        <f>Table1[[#This Row], [n_mpi_procs]]*Table1[[#This Row], [n_omp_threads]]</f>
        <v>1</v>
      </c>
      <c r="J2" s="12">
        <f>Table1[[#This Row], [n_omp_threads]]*Table1[[#This Row], [n_mpi_procs]]</f>
        <v>1</v>
      </c>
      <c r="K2" s="13">
        <f>Table1[[#This Row], [total_devices]]/Table1[[#This Row], [n_nodes]]</f>
        <v>1</v>
      </c>
    </row>
    <row r="3" spans="1:11" x14ac:dyDescent="0.25">
      <c r="A3" s="14" t="s">
        <v>2</v>
      </c>
      <c r="B3" s="15" t="s">
        <v>0</v>
      </c>
      <c r="C3" s="9" t="s">
        <v>16</v>
      </c>
      <c r="D3" s="10">
        <v>1</v>
      </c>
      <c r="E3" s="10">
        <v>1</v>
      </c>
      <c r="F3" s="10">
        <v>1</v>
      </c>
      <c r="G3" s="10">
        <v>0</v>
      </c>
      <c r="H3" s="11">
        <v>2</v>
      </c>
      <c r="I3" s="12">
        <f>Table1[[#This Row], [n_mpi_procs]]*Table1[[#This Row], [n_omp_threads]]</f>
        <v>1</v>
      </c>
      <c r="J3" s="12">
        <f>Table1[[#This Row], [n_omp_threads]]*Table1[[#This Row], [n_mpi_procs]]</f>
        <v>1</v>
      </c>
      <c r="K3" s="13">
        <f>Table1[[#This Row], [total_devices]]/Table1[[#This Row], [n_nodes]]</f>
        <v>1</v>
      </c>
    </row>
    <row r="4" spans="1:11" x14ac:dyDescent="0.25">
      <c r="A4" s="7" t="s">
        <v>1</v>
      </c>
      <c r="B4" s="8" t="s">
        <v>1</v>
      </c>
      <c r="C4" s="9" t="s">
        <v>20</v>
      </c>
      <c r="D4" s="10">
        <v>1</v>
      </c>
      <c r="E4" s="10">
        <v>2</v>
      </c>
      <c r="F4" s="10">
        <v>1</v>
      </c>
      <c r="G4" s="10">
        <v>2</v>
      </c>
      <c r="H4" s="11">
        <v>8</v>
      </c>
      <c r="I4" s="12">
        <f>Table1[[#This Row], [n_mpi_procs]]*Table1[[#This Row], [n_omp_threads]]</f>
        <v>2</v>
      </c>
      <c r="J4" s="12">
        <f>Table1[[#This Row], [n_omp_threads]]*Table1[[#This Row], [n_mpi_procs]]</f>
        <v>2</v>
      </c>
      <c r="K4" s="13">
        <f>Table1[[#This Row], [total_devices]]/Table1[[#This Row], [n_nodes]]</f>
        <v>2</v>
      </c>
    </row>
    <row r="5" spans="1:11" x14ac:dyDescent="0.25">
      <c r="A5" s="14" t="s">
        <v>4</v>
      </c>
      <c r="B5" s="15" t="s">
        <v>0</v>
      </c>
      <c r="C5" s="9" t="s">
        <v>18</v>
      </c>
      <c r="D5" s="10">
        <v>1</v>
      </c>
      <c r="E5" s="10">
        <v>2</v>
      </c>
      <c r="F5" s="10">
        <v>1</v>
      </c>
      <c r="G5" s="10">
        <v>0</v>
      </c>
      <c r="H5" s="11">
        <v>2</v>
      </c>
      <c r="I5" s="12">
        <f>Table1[[#This Row], [n_mpi_procs]]*Table1[[#This Row], [n_omp_threads]]</f>
        <v>2</v>
      </c>
      <c r="J5" s="12">
        <f>Table1[[#This Row], [n_omp_threads]]*Table1[[#This Row], [n_mpi_procs]]</f>
        <v>2</v>
      </c>
      <c r="K5" s="13">
        <f>Table1[[#This Row], [total_devices]]/Table1[[#This Row], [n_nodes]]</f>
        <v>2</v>
      </c>
    </row>
    <row r="6" spans="1:11" x14ac:dyDescent="0.25">
      <c r="A6" s="14" t="s">
        <v>3</v>
      </c>
      <c r="B6" s="15" t="s">
        <v>0</v>
      </c>
      <c r="C6" s="9" t="s">
        <v>19</v>
      </c>
      <c r="D6" s="10">
        <v>1</v>
      </c>
      <c r="E6" s="10">
        <v>1</v>
      </c>
      <c r="F6" s="10">
        <v>2</v>
      </c>
      <c r="G6" s="10">
        <v>0</v>
      </c>
      <c r="H6" s="11">
        <v>2</v>
      </c>
      <c r="I6" s="12">
        <f>Table1[[#This Row], [n_mpi_procs]]*Table1[[#This Row], [n_omp_threads]]</f>
        <v>2</v>
      </c>
      <c r="J6" s="12">
        <f>Table1[[#This Row], [n_omp_threads]]*Table1[[#This Row], [n_mpi_procs]]</f>
        <v>2</v>
      </c>
      <c r="K6" s="13">
        <f>Table1[[#This Row], [total_devices]]/Table1[[#This Row], [n_nodes]]</f>
        <v>2</v>
      </c>
    </row>
    <row r="7" spans="1:11" x14ac:dyDescent="0.25">
      <c r="A7" s="7" t="s">
        <v>1</v>
      </c>
      <c r="B7" s="8" t="s">
        <v>1</v>
      </c>
      <c r="C7" s="9" t="s">
        <v>20</v>
      </c>
      <c r="D7" s="10">
        <v>1</v>
      </c>
      <c r="E7" s="10">
        <v>3</v>
      </c>
      <c r="F7" s="10">
        <v>1</v>
      </c>
      <c r="G7" s="10">
        <v>3</v>
      </c>
      <c r="H7" s="11">
        <v>8</v>
      </c>
      <c r="I7" s="12">
        <f>Table1[[#This Row], [n_mpi_procs]]*Table1[[#This Row], [n_omp_threads]]</f>
        <v>3</v>
      </c>
      <c r="J7" s="12">
        <f>Table1[[#This Row], [n_omp_threads]]*Table1[[#This Row], [n_mpi_procs]]</f>
        <v>3</v>
      </c>
      <c r="K7" s="13">
        <f>Table1[[#This Row], [total_devices]]/Table1[[#This Row], [n_nodes]]</f>
        <v>3</v>
      </c>
    </row>
    <row r="8" spans="1:11" x14ac:dyDescent="0.25">
      <c r="A8" s="7" t="s">
        <v>1</v>
      </c>
      <c r="B8" s="8" t="s">
        <v>1</v>
      </c>
      <c r="C8" s="9" t="s">
        <v>20</v>
      </c>
      <c r="D8" s="10">
        <v>1</v>
      </c>
      <c r="E8" s="10">
        <v>4</v>
      </c>
      <c r="F8" s="10">
        <v>1</v>
      </c>
      <c r="G8" s="10">
        <v>4</v>
      </c>
      <c r="H8" s="11">
        <v>8</v>
      </c>
      <c r="I8" s="12">
        <f>Table1[[#This Row], [n_mpi_procs]]*Table1[[#This Row], [n_omp_threads]]</f>
        <v>4</v>
      </c>
      <c r="J8" s="12">
        <f>Table1[[#This Row], [n_omp_threads]]*Table1[[#This Row], [n_mpi_procs]]</f>
        <v>4</v>
      </c>
      <c r="K8" s="13">
        <f>Table1[[#This Row], [total_devices]]/Table1[[#This Row], [n_nodes]]</f>
        <v>4</v>
      </c>
    </row>
    <row r="9" spans="1:11" x14ac:dyDescent="0.25">
      <c r="A9" s="14" t="s">
        <v>5</v>
      </c>
      <c r="B9" s="15" t="s">
        <v>0</v>
      </c>
      <c r="C9" s="9" t="s">
        <v>17</v>
      </c>
      <c r="D9" s="10">
        <v>1</v>
      </c>
      <c r="E9" s="10">
        <v>2</v>
      </c>
      <c r="F9" s="10">
        <v>2</v>
      </c>
      <c r="G9" s="10">
        <v>0</v>
      </c>
      <c r="H9" s="11">
        <v>2</v>
      </c>
      <c r="I9" s="12">
        <f>Table1[[#This Row], [n_mpi_procs]]*Table1[[#This Row], [n_omp_threads]]</f>
        <v>4</v>
      </c>
      <c r="J9" s="12">
        <f>Table1[[#This Row], [n_omp_threads]]*Table1[[#This Row], [n_mpi_procs]]</f>
        <v>4</v>
      </c>
      <c r="K9" s="13">
        <f>Table1[[#This Row], [total_devices]]/Table1[[#This Row], [n_nodes]]</f>
        <v>4</v>
      </c>
    </row>
    <row r="10" spans="1:11" x14ac:dyDescent="0.25">
      <c r="A10" s="14" t="s">
        <v>4</v>
      </c>
      <c r="B10" s="15" t="s">
        <v>0</v>
      </c>
      <c r="C10" s="9" t="s">
        <v>18</v>
      </c>
      <c r="D10" s="10">
        <v>1</v>
      </c>
      <c r="E10" s="10">
        <v>4</v>
      </c>
      <c r="F10" s="10">
        <v>1</v>
      </c>
      <c r="G10" s="10">
        <v>0</v>
      </c>
      <c r="H10" s="11">
        <v>2</v>
      </c>
      <c r="I10" s="12">
        <f>Table1[[#This Row], [n_mpi_procs]]*Table1[[#This Row], [n_omp_threads]]</f>
        <v>4</v>
      </c>
      <c r="J10" s="12">
        <f>Table1[[#This Row], [n_omp_threads]]*Table1[[#This Row], [n_mpi_procs]]</f>
        <v>4</v>
      </c>
      <c r="K10" s="13">
        <f>Table1[[#This Row], [total_devices]]/Table1[[#This Row], [n_nodes]]</f>
        <v>4</v>
      </c>
    </row>
    <row r="11" spans="1:11" x14ac:dyDescent="0.25">
      <c r="A11" s="14" t="s">
        <v>3</v>
      </c>
      <c r="B11" s="15" t="s">
        <v>0</v>
      </c>
      <c r="C11" s="9" t="s">
        <v>19</v>
      </c>
      <c r="D11" s="10">
        <v>1</v>
      </c>
      <c r="E11" s="10">
        <v>1</v>
      </c>
      <c r="F11" s="10">
        <v>4</v>
      </c>
      <c r="G11" s="10">
        <v>0</v>
      </c>
      <c r="H11" s="11">
        <v>2</v>
      </c>
      <c r="I11" s="12">
        <f>Table1[[#This Row], [n_mpi_procs]]*Table1[[#This Row], [n_omp_threads]]</f>
        <v>4</v>
      </c>
      <c r="J11" s="12">
        <f>Table1[[#This Row], [n_omp_threads]]*Table1[[#This Row], [n_mpi_procs]]</f>
        <v>4</v>
      </c>
      <c r="K11" s="13">
        <f>Table1[[#This Row], [total_devices]]/Table1[[#This Row], [n_nodes]]</f>
        <v>4</v>
      </c>
    </row>
    <row r="12" spans="1:11" x14ac:dyDescent="0.25">
      <c r="A12" s="18" t="s">
        <v>1</v>
      </c>
      <c r="B12" s="19" t="s">
        <v>1</v>
      </c>
      <c r="C12" s="9" t="s">
        <v>20</v>
      </c>
      <c r="D12" s="16">
        <v>1</v>
      </c>
      <c r="E12" s="10">
        <v>5</v>
      </c>
      <c r="F12" s="16">
        <v>1</v>
      </c>
      <c r="G12" s="10">
        <v>5</v>
      </c>
      <c r="H12" s="11">
        <v>8</v>
      </c>
      <c r="I12" s="12">
        <f>Table1[[#This Row], [n_mpi_procs]]*Table1[[#This Row], [n_omp_threads]]</f>
        <v>5</v>
      </c>
      <c r="J12" s="12">
        <f>Table1[[#This Row], [n_omp_threads]]*Table1[[#This Row], [n_mpi_procs]]</f>
        <v>5</v>
      </c>
      <c r="K12" s="17">
        <f>Table1[[#This Row], [total_devices]]/Table1[[#This Row], [n_nodes]]</f>
        <v>5</v>
      </c>
    </row>
    <row r="13" spans="1:11" x14ac:dyDescent="0.25">
      <c r="A13" s="7" t="s">
        <v>1</v>
      </c>
      <c r="B13" s="8" t="s">
        <v>1</v>
      </c>
      <c r="C13" s="9" t="s">
        <v>20</v>
      </c>
      <c r="D13" s="10">
        <v>1</v>
      </c>
      <c r="E13" s="10">
        <v>6</v>
      </c>
      <c r="F13" s="10">
        <v>1</v>
      </c>
      <c r="G13" s="10">
        <v>6</v>
      </c>
      <c r="H13" s="11">
        <v>8</v>
      </c>
      <c r="I13" s="12">
        <f>Table1[[#This Row], [n_mpi_procs]]*Table1[[#This Row], [n_omp_threads]]</f>
        <v>6</v>
      </c>
      <c r="J13" s="12">
        <f>Table1[[#This Row], [n_omp_threads]]*Table1[[#This Row], [n_mpi_procs]]</f>
        <v>6</v>
      </c>
      <c r="K13" s="17">
        <f>Table1[[#This Row], [total_devices]]/Table1[[#This Row], [n_nodes]]</f>
        <v>6</v>
      </c>
    </row>
    <row r="14" spans="1:11" x14ac:dyDescent="0.25">
      <c r="A14" s="7" t="s">
        <v>1</v>
      </c>
      <c r="B14" s="8" t="s">
        <v>1</v>
      </c>
      <c r="C14" s="9" t="s">
        <v>20</v>
      </c>
      <c r="D14" s="10">
        <v>1</v>
      </c>
      <c r="E14" s="10">
        <v>7</v>
      </c>
      <c r="F14" s="10">
        <v>1</v>
      </c>
      <c r="G14" s="10">
        <v>7</v>
      </c>
      <c r="H14" s="11">
        <v>8</v>
      </c>
      <c r="I14" s="12">
        <f>Table1[[#This Row], [n_mpi_procs]]*Table1[[#This Row], [n_omp_threads]]</f>
        <v>7</v>
      </c>
      <c r="J14" s="12">
        <f>Table1[[#This Row], [n_omp_threads]]*Table1[[#This Row], [n_mpi_procs]]</f>
        <v>7</v>
      </c>
      <c r="K14" s="17">
        <f>Table1[[#This Row], [total_devices]]/Table1[[#This Row], [n_nodes]]</f>
        <v>7</v>
      </c>
    </row>
    <row r="15" spans="1:11" x14ac:dyDescent="0.25">
      <c r="A15" s="7" t="s">
        <v>1</v>
      </c>
      <c r="B15" s="8" t="s">
        <v>1</v>
      </c>
      <c r="C15" s="9" t="s">
        <v>20</v>
      </c>
      <c r="D15" s="10">
        <v>1</v>
      </c>
      <c r="E15" s="10">
        <v>8</v>
      </c>
      <c r="F15" s="10">
        <v>1</v>
      </c>
      <c r="G15" s="10">
        <v>8</v>
      </c>
      <c r="H15" s="11">
        <v>8</v>
      </c>
      <c r="I15" s="12">
        <f>Table1[[#This Row], [n_mpi_procs]]*Table1[[#This Row], [n_omp_threads]]</f>
        <v>8</v>
      </c>
      <c r="J15" s="12">
        <f>Table1[[#This Row], [n_omp_threads]]*Table1[[#This Row], [n_mpi_procs]]</f>
        <v>8</v>
      </c>
      <c r="K15" s="17">
        <f>Table1[[#This Row], [total_devices]]/Table1[[#This Row], [n_nodes]]</f>
        <v>8</v>
      </c>
    </row>
    <row r="16" spans="1:11" x14ac:dyDescent="0.25">
      <c r="A16" s="7" t="s">
        <v>1</v>
      </c>
      <c r="B16" s="8" t="s">
        <v>1</v>
      </c>
      <c r="C16" s="9" t="s">
        <v>20</v>
      </c>
      <c r="D16" s="10">
        <v>2</v>
      </c>
      <c r="E16" s="10">
        <v>16</v>
      </c>
      <c r="F16" s="10">
        <v>1</v>
      </c>
      <c r="G16" s="10">
        <v>16</v>
      </c>
      <c r="H16" s="11">
        <v>8</v>
      </c>
      <c r="I16" s="12">
        <f>Table1[[#This Row], [n_mpi_procs]]*Table1[[#This Row], [n_omp_threads]]</f>
        <v>16</v>
      </c>
      <c r="J16" s="12">
        <f>Table1[[#This Row], [n_omp_threads]]*Table1[[#This Row], [n_mpi_procs]]</f>
        <v>16</v>
      </c>
      <c r="K16" s="17">
        <f>Table1[[#This Row], [total_devices]]/Table1[[#This Row], [n_nodes]]</f>
        <v>8</v>
      </c>
    </row>
    <row r="17" spans="1:11" x14ac:dyDescent="0.25">
      <c r="A17" s="14" t="s">
        <v>5</v>
      </c>
      <c r="B17" s="15" t="s">
        <v>0</v>
      </c>
      <c r="C17" s="9" t="s">
        <v>17</v>
      </c>
      <c r="D17" s="10">
        <v>1</v>
      </c>
      <c r="E17" s="10">
        <v>2</v>
      </c>
      <c r="F17" s="10">
        <v>4</v>
      </c>
      <c r="G17" s="10">
        <v>0</v>
      </c>
      <c r="H17" s="11">
        <v>2</v>
      </c>
      <c r="I17" s="12">
        <f>Table1[[#This Row], [n_mpi_procs]]*Table1[[#This Row], [n_omp_threads]]</f>
        <v>8</v>
      </c>
      <c r="J17" s="12">
        <f>Table1[[#This Row], [n_omp_threads]]*Table1[[#This Row], [n_mpi_procs]]</f>
        <v>8</v>
      </c>
      <c r="K17" s="17">
        <f>Table1[[#This Row], [total_devices]]/Table1[[#This Row], [n_nodes]]</f>
        <v>8</v>
      </c>
    </row>
    <row r="18" spans="1:11" x14ac:dyDescent="0.25">
      <c r="A18" s="14" t="s">
        <v>5</v>
      </c>
      <c r="B18" s="15" t="s">
        <v>0</v>
      </c>
      <c r="C18" s="9" t="s">
        <v>17</v>
      </c>
      <c r="D18" s="10">
        <v>1</v>
      </c>
      <c r="E18" s="10">
        <v>4</v>
      </c>
      <c r="F18" s="10">
        <v>2</v>
      </c>
      <c r="G18" s="10">
        <v>0</v>
      </c>
      <c r="H18" s="11">
        <v>2</v>
      </c>
      <c r="I18" s="12">
        <f>Table1[[#This Row], [n_mpi_procs]]*Table1[[#This Row], [n_omp_threads]]</f>
        <v>8</v>
      </c>
      <c r="J18" s="12">
        <f>Table1[[#This Row], [n_omp_threads]]*Table1[[#This Row], [n_mpi_procs]]</f>
        <v>8</v>
      </c>
      <c r="K18" s="17">
        <f>Table1[[#This Row], [total_devices]]/Table1[[#This Row], [n_nodes]]</f>
        <v>8</v>
      </c>
    </row>
    <row r="19" spans="1:11" x14ac:dyDescent="0.25">
      <c r="A19" s="14" t="s">
        <v>4</v>
      </c>
      <c r="B19" s="15" t="s">
        <v>0</v>
      </c>
      <c r="C19" s="9" t="s">
        <v>18</v>
      </c>
      <c r="D19" s="10">
        <v>1</v>
      </c>
      <c r="E19" s="10">
        <v>8</v>
      </c>
      <c r="F19" s="10">
        <v>1</v>
      </c>
      <c r="G19" s="10">
        <v>0</v>
      </c>
      <c r="H19" s="11">
        <v>2</v>
      </c>
      <c r="I19" s="12">
        <f>Table1[[#This Row], [n_mpi_procs]]*Table1[[#This Row], [n_omp_threads]]</f>
        <v>8</v>
      </c>
      <c r="J19" s="12">
        <f>Table1[[#This Row], [n_omp_threads]]*Table1[[#This Row], [n_mpi_procs]]</f>
        <v>8</v>
      </c>
      <c r="K19" s="17">
        <f>Table1[[#This Row], [total_devices]]/Table1[[#This Row], [n_nodes]]</f>
        <v>8</v>
      </c>
    </row>
    <row r="20" spans="1:11" x14ac:dyDescent="0.25">
      <c r="A20" s="14" t="s">
        <v>3</v>
      </c>
      <c r="B20" s="15" t="s">
        <v>0</v>
      </c>
      <c r="C20" s="9" t="s">
        <v>19</v>
      </c>
      <c r="D20" s="10">
        <v>1</v>
      </c>
      <c r="E20" s="10">
        <v>1</v>
      </c>
      <c r="F20" s="10">
        <v>8</v>
      </c>
      <c r="G20" s="10">
        <v>0</v>
      </c>
      <c r="H20" s="11">
        <v>2</v>
      </c>
      <c r="I20" s="12">
        <f>Table1[[#This Row], [n_mpi_procs]]*Table1[[#This Row], [n_omp_threads]]</f>
        <v>8</v>
      </c>
      <c r="J20" s="12">
        <f>Table1[[#This Row], [n_omp_threads]]*Table1[[#This Row], [n_mpi_procs]]</f>
        <v>8</v>
      </c>
      <c r="K20" s="17">
        <f>Table1[[#This Row], [total_devices]]/Table1[[#This Row], [n_nodes]]</f>
        <v>8</v>
      </c>
    </row>
    <row r="21" spans="1:11" x14ac:dyDescent="0.25">
      <c r="A21" s="14" t="s">
        <v>5</v>
      </c>
      <c r="B21" s="15" t="s">
        <v>0</v>
      </c>
      <c r="C21" s="9" t="s">
        <v>17</v>
      </c>
      <c r="D21" s="10">
        <v>1</v>
      </c>
      <c r="E21" s="10">
        <v>2</v>
      </c>
      <c r="F21" s="10">
        <v>8</v>
      </c>
      <c r="G21" s="10">
        <v>0</v>
      </c>
      <c r="H21" s="11">
        <v>2</v>
      </c>
      <c r="I21" s="12">
        <f>Table1[[#This Row], [n_mpi_procs]]*Table1[[#This Row], [n_omp_threads]]</f>
        <v>16</v>
      </c>
      <c r="J21" s="12">
        <f>Table1[[#This Row], [n_omp_threads]]*Table1[[#This Row], [n_mpi_procs]]</f>
        <v>16</v>
      </c>
      <c r="K21" s="17">
        <f>Table1[[#This Row], [total_devices]]/Table1[[#This Row], [n_nodes]]</f>
        <v>16</v>
      </c>
    </row>
    <row r="22" spans="1:11" x14ac:dyDescent="0.25">
      <c r="A22" s="14" t="s">
        <v>5</v>
      </c>
      <c r="B22" s="15" t="s">
        <v>0</v>
      </c>
      <c r="C22" s="9" t="s">
        <v>17</v>
      </c>
      <c r="D22" s="10">
        <v>1</v>
      </c>
      <c r="E22" s="10">
        <v>4</v>
      </c>
      <c r="F22" s="10">
        <v>4</v>
      </c>
      <c r="G22" s="10">
        <v>0</v>
      </c>
      <c r="H22" s="11">
        <v>2</v>
      </c>
      <c r="I22" s="12">
        <f>Table1[[#This Row], [n_mpi_procs]]*Table1[[#This Row], [n_omp_threads]]</f>
        <v>16</v>
      </c>
      <c r="J22" s="12">
        <f>Table1[[#This Row], [n_omp_threads]]*Table1[[#This Row], [n_mpi_procs]]</f>
        <v>16</v>
      </c>
      <c r="K22" s="17">
        <f>Table1[[#This Row], [total_devices]]/Table1[[#This Row], [n_nodes]]</f>
        <v>16</v>
      </c>
    </row>
    <row r="23" spans="1:11" x14ac:dyDescent="0.25">
      <c r="A23" s="14" t="s">
        <v>5</v>
      </c>
      <c r="B23" s="15" t="s">
        <v>0</v>
      </c>
      <c r="C23" s="9" t="s">
        <v>17</v>
      </c>
      <c r="D23" s="10">
        <v>1</v>
      </c>
      <c r="E23" s="10">
        <v>8</v>
      </c>
      <c r="F23" s="10">
        <v>2</v>
      </c>
      <c r="G23" s="10">
        <v>0</v>
      </c>
      <c r="H23" s="11">
        <v>2</v>
      </c>
      <c r="I23" s="12">
        <f>Table1[[#This Row], [n_mpi_procs]]*Table1[[#This Row], [n_omp_threads]]</f>
        <v>16</v>
      </c>
      <c r="J23" s="12">
        <f>Table1[[#This Row], [n_omp_threads]]*Table1[[#This Row], [n_mpi_procs]]</f>
        <v>16</v>
      </c>
      <c r="K23" s="17">
        <f>Table1[[#This Row], [total_devices]]/Table1[[#This Row], [n_nodes]]</f>
        <v>16</v>
      </c>
    </row>
    <row r="24" spans="1:11" x14ac:dyDescent="0.25">
      <c r="A24" s="14" t="s">
        <v>4</v>
      </c>
      <c r="B24" s="15" t="s">
        <v>0</v>
      </c>
      <c r="C24" s="9" t="s">
        <v>18</v>
      </c>
      <c r="D24" s="10">
        <v>1</v>
      </c>
      <c r="E24" s="10">
        <v>16</v>
      </c>
      <c r="F24" s="10">
        <v>1</v>
      </c>
      <c r="G24" s="10">
        <v>0</v>
      </c>
      <c r="H24" s="11">
        <v>2</v>
      </c>
      <c r="I24" s="12">
        <f>Table1[[#This Row], [n_mpi_procs]]*Table1[[#This Row], [n_omp_threads]]</f>
        <v>16</v>
      </c>
      <c r="J24" s="12">
        <f>Table1[[#This Row], [n_omp_threads]]*Table1[[#This Row], [n_mpi_procs]]</f>
        <v>16</v>
      </c>
      <c r="K24" s="17">
        <f>Table1[[#This Row], [total_devices]]/Table1[[#This Row], [n_nodes]]</f>
        <v>16</v>
      </c>
    </row>
    <row r="25" spans="1:11" x14ac:dyDescent="0.25">
      <c r="A25" s="14" t="s">
        <v>3</v>
      </c>
      <c r="B25" s="15" t="s">
        <v>0</v>
      </c>
      <c r="C25" s="9" t="s">
        <v>19</v>
      </c>
      <c r="D25" s="10">
        <v>1</v>
      </c>
      <c r="E25" s="10">
        <v>1</v>
      </c>
      <c r="F25" s="10">
        <v>16</v>
      </c>
      <c r="G25" s="10">
        <v>0</v>
      </c>
      <c r="H25" s="11">
        <v>2</v>
      </c>
      <c r="I25" s="12">
        <f>Table1[[#This Row], [n_mpi_procs]]*Table1[[#This Row], [n_omp_threads]]</f>
        <v>16</v>
      </c>
      <c r="J25" s="12">
        <f>Table1[[#This Row], [n_omp_threads]]*Table1[[#This Row], [n_mpi_procs]]</f>
        <v>16</v>
      </c>
      <c r="K25" s="17">
        <f>Table1[[#This Row], [total_devices]]/Table1[[#This Row], [n_nodes]]</f>
        <v>16</v>
      </c>
    </row>
    <row r="26" spans="1:11" x14ac:dyDescent="0.25">
      <c r="A26" s="14" t="s">
        <v>5</v>
      </c>
      <c r="B26" s="15" t="s">
        <v>0</v>
      </c>
      <c r="C26" s="9" t="s">
        <v>17</v>
      </c>
      <c r="D26" s="10">
        <v>1</v>
      </c>
      <c r="E26" s="10">
        <v>2</v>
      </c>
      <c r="F26" s="10">
        <v>16</v>
      </c>
      <c r="G26" s="10">
        <v>0</v>
      </c>
      <c r="H26" s="11">
        <v>2</v>
      </c>
      <c r="I26" s="12">
        <f>Table1[[#This Row], [n_mpi_procs]]*Table1[[#This Row], [n_omp_threads]]</f>
        <v>32</v>
      </c>
      <c r="J26" s="12">
        <f>Table1[[#This Row], [n_omp_threads]]*Table1[[#This Row], [n_mpi_procs]]</f>
        <v>32</v>
      </c>
      <c r="K26" s="17">
        <f>Table1[[#This Row], [total_devices]]/Table1[[#This Row], [n_nodes]]</f>
        <v>32</v>
      </c>
    </row>
    <row r="27" spans="1:11" x14ac:dyDescent="0.25">
      <c r="A27" s="14" t="s">
        <v>5</v>
      </c>
      <c r="B27" s="15" t="s">
        <v>0</v>
      </c>
      <c r="C27" s="9" t="s">
        <v>17</v>
      </c>
      <c r="D27" s="10">
        <v>1</v>
      </c>
      <c r="E27" s="10">
        <v>4</v>
      </c>
      <c r="F27" s="10">
        <v>8</v>
      </c>
      <c r="G27" s="10">
        <v>0</v>
      </c>
      <c r="H27" s="11">
        <v>2</v>
      </c>
      <c r="I27" s="12">
        <f>Table1[[#This Row], [n_mpi_procs]]*Table1[[#This Row], [n_omp_threads]]</f>
        <v>32</v>
      </c>
      <c r="J27" s="12">
        <f>Table1[[#This Row], [n_omp_threads]]*Table1[[#This Row], [n_mpi_procs]]</f>
        <v>32</v>
      </c>
      <c r="K27" s="17">
        <f>Table1[[#This Row], [total_devices]]/Table1[[#This Row], [n_nodes]]</f>
        <v>32</v>
      </c>
    </row>
    <row r="28" spans="1:11" x14ac:dyDescent="0.25">
      <c r="A28" s="14" t="s">
        <v>5</v>
      </c>
      <c r="B28" s="15" t="s">
        <v>0</v>
      </c>
      <c r="C28" s="9" t="s">
        <v>17</v>
      </c>
      <c r="D28" s="10">
        <v>1</v>
      </c>
      <c r="E28" s="10">
        <v>8</v>
      </c>
      <c r="F28" s="10">
        <v>4</v>
      </c>
      <c r="G28" s="10">
        <v>0</v>
      </c>
      <c r="H28" s="11">
        <v>2</v>
      </c>
      <c r="I28" s="12">
        <f>Table1[[#This Row], [n_mpi_procs]]*Table1[[#This Row], [n_omp_threads]]</f>
        <v>32</v>
      </c>
      <c r="J28" s="12">
        <f>Table1[[#This Row], [n_omp_threads]]*Table1[[#This Row], [n_mpi_procs]]</f>
        <v>32</v>
      </c>
      <c r="K28" s="17">
        <f>Table1[[#This Row], [total_devices]]/Table1[[#This Row], [n_nodes]]</f>
        <v>32</v>
      </c>
    </row>
    <row r="29" spans="1:11" x14ac:dyDescent="0.25">
      <c r="A29" s="14" t="s">
        <v>5</v>
      </c>
      <c r="B29" s="15" t="s">
        <v>0</v>
      </c>
      <c r="C29" s="9" t="s">
        <v>17</v>
      </c>
      <c r="D29" s="10">
        <v>1</v>
      </c>
      <c r="E29" s="10">
        <v>16</v>
      </c>
      <c r="F29" s="10">
        <v>2</v>
      </c>
      <c r="G29" s="10">
        <v>0</v>
      </c>
      <c r="H29" s="11">
        <v>2</v>
      </c>
      <c r="I29" s="12">
        <f>Table1[[#This Row], [n_mpi_procs]]*Table1[[#This Row], [n_omp_threads]]</f>
        <v>32</v>
      </c>
      <c r="J29" s="12">
        <f>Table1[[#This Row], [n_omp_threads]]*Table1[[#This Row], [n_mpi_procs]]</f>
        <v>32</v>
      </c>
      <c r="K29" s="17">
        <f>Table1[[#This Row], [total_devices]]/Table1[[#This Row], [n_nodes]]</f>
        <v>32</v>
      </c>
    </row>
    <row r="30" spans="1:11" x14ac:dyDescent="0.25">
      <c r="A30" s="14" t="s">
        <v>3</v>
      </c>
      <c r="B30" s="15" t="s">
        <v>0</v>
      </c>
      <c r="C30" s="9" t="s">
        <v>19</v>
      </c>
      <c r="D30" s="10">
        <v>1</v>
      </c>
      <c r="E30" s="10">
        <v>1</v>
      </c>
      <c r="F30" s="10">
        <v>32</v>
      </c>
      <c r="G30" s="10">
        <v>0</v>
      </c>
      <c r="H30" s="11">
        <v>2</v>
      </c>
      <c r="I30" s="12">
        <f>Table1[[#This Row], [n_mpi_procs]]*Table1[[#This Row], [n_omp_threads]]</f>
        <v>32</v>
      </c>
      <c r="J30" s="12">
        <f>Table1[[#This Row], [n_omp_threads]]*Table1[[#This Row], [n_mpi_procs]]</f>
        <v>32</v>
      </c>
      <c r="K30" s="17">
        <f>Table1[[#This Row], [total_devices]]/Table1[[#This Row], [n_nodes]]</f>
        <v>32</v>
      </c>
    </row>
    <row r="31" spans="1:11" x14ac:dyDescent="0.25">
      <c r="A31" s="14" t="s">
        <v>5</v>
      </c>
      <c r="B31" s="15" t="s">
        <v>0</v>
      </c>
      <c r="C31" s="9" t="s">
        <v>17</v>
      </c>
      <c r="D31" s="10">
        <v>2</v>
      </c>
      <c r="E31" s="10">
        <v>2</v>
      </c>
      <c r="F31" s="10">
        <v>32</v>
      </c>
      <c r="G31" s="10">
        <v>0</v>
      </c>
      <c r="H31" s="11">
        <v>2</v>
      </c>
      <c r="I31" s="12">
        <f>Table1[[#This Row], [n_mpi_procs]]*Table1[[#This Row], [n_omp_threads]]</f>
        <v>64</v>
      </c>
      <c r="J31" s="12">
        <f>Table1[[#This Row], [n_omp_threads]]*Table1[[#This Row], [n_mpi_procs]]</f>
        <v>64</v>
      </c>
      <c r="K31" s="17">
        <f>Table1[[#This Row], [total_devices]]/Table1[[#This Row], [n_nodes]]</f>
        <v>32</v>
      </c>
    </row>
    <row r="32" spans="1:11" x14ac:dyDescent="0.25">
      <c r="A32" s="14" t="s">
        <v>5</v>
      </c>
      <c r="B32" s="15" t="s">
        <v>0</v>
      </c>
      <c r="C32" s="9" t="s">
        <v>17</v>
      </c>
      <c r="D32" s="10">
        <v>2</v>
      </c>
      <c r="E32" s="10">
        <v>4</v>
      </c>
      <c r="F32" s="10">
        <v>16</v>
      </c>
      <c r="G32" s="10">
        <v>0</v>
      </c>
      <c r="H32" s="11">
        <v>2</v>
      </c>
      <c r="I32" s="12">
        <f>Table1[[#This Row], [n_mpi_procs]]*Table1[[#This Row], [n_omp_threads]]</f>
        <v>64</v>
      </c>
      <c r="J32" s="12">
        <f>Table1[[#This Row], [n_omp_threads]]*Table1[[#This Row], [n_mpi_procs]]</f>
        <v>64</v>
      </c>
      <c r="K32" s="17">
        <f>Table1[[#This Row], [total_devices]]/Table1[[#This Row], [n_nodes]]</f>
        <v>32</v>
      </c>
    </row>
    <row r="33" spans="1:11" x14ac:dyDescent="0.25">
      <c r="A33" s="14" t="s">
        <v>5</v>
      </c>
      <c r="B33" s="15" t="s">
        <v>0</v>
      </c>
      <c r="C33" s="9" t="s">
        <v>17</v>
      </c>
      <c r="D33" s="10">
        <v>2</v>
      </c>
      <c r="E33" s="10">
        <v>8</v>
      </c>
      <c r="F33" s="10">
        <v>8</v>
      </c>
      <c r="G33" s="10">
        <v>0</v>
      </c>
      <c r="H33" s="11">
        <v>2</v>
      </c>
      <c r="I33" s="12">
        <f>Table1[[#This Row], [n_mpi_procs]]*Table1[[#This Row], [n_omp_threads]]</f>
        <v>64</v>
      </c>
      <c r="J33" s="12">
        <f>Table1[[#This Row], [n_omp_threads]]*Table1[[#This Row], [n_mpi_procs]]</f>
        <v>64</v>
      </c>
      <c r="K33" s="17">
        <f>Table1[[#This Row], [total_devices]]/Table1[[#This Row], [n_nodes]]</f>
        <v>32</v>
      </c>
    </row>
    <row r="34" spans="1:11" x14ac:dyDescent="0.25">
      <c r="A34" s="14" t="s">
        <v>5</v>
      </c>
      <c r="B34" s="15" t="s">
        <v>0</v>
      </c>
      <c r="C34" s="9" t="s">
        <v>17</v>
      </c>
      <c r="D34" s="10">
        <v>2</v>
      </c>
      <c r="E34" s="10">
        <v>16</v>
      </c>
      <c r="F34" s="10">
        <v>4</v>
      </c>
      <c r="G34" s="10">
        <v>0</v>
      </c>
      <c r="H34" s="11">
        <v>2</v>
      </c>
      <c r="I34" s="12">
        <f>Table1[[#This Row], [n_mpi_procs]]*Table1[[#This Row], [n_omp_threads]]</f>
        <v>64</v>
      </c>
      <c r="J34" s="12">
        <f>Table1[[#This Row], [n_omp_threads]]*Table1[[#This Row], [n_mpi_procs]]</f>
        <v>64</v>
      </c>
      <c r="K34" s="17">
        <f>Table1[[#This Row], [total_devices]]/Table1[[#This Row], [n_nodes]]</f>
        <v>32</v>
      </c>
    </row>
    <row r="35" spans="1:11" x14ac:dyDescent="0.25">
      <c r="A35" s="14" t="s">
        <v>5</v>
      </c>
      <c r="B35" s="15" t="s">
        <v>0</v>
      </c>
      <c r="C35" s="9" t="s">
        <v>17</v>
      </c>
      <c r="D35" s="10">
        <v>4</v>
      </c>
      <c r="E35" s="10">
        <v>4</v>
      </c>
      <c r="F35" s="10">
        <v>32</v>
      </c>
      <c r="G35" s="10">
        <v>0</v>
      </c>
      <c r="H35" s="11">
        <v>2</v>
      </c>
      <c r="I35" s="12">
        <f>Table1[[#This Row], [n_mpi_procs]]*Table1[[#This Row], [n_omp_threads]]</f>
        <v>128</v>
      </c>
      <c r="J35" s="12">
        <f>Table1[[#This Row], [n_omp_threads]]*Table1[[#This Row], [n_mpi_procs]]</f>
        <v>128</v>
      </c>
      <c r="K35" s="17">
        <f>Table1[[#This Row], [total_devices]]/Table1[[#This Row], [n_nodes]]</f>
        <v>32</v>
      </c>
    </row>
    <row r="36" spans="1:11" x14ac:dyDescent="0.25">
      <c r="A36" s="14" t="s">
        <v>5</v>
      </c>
      <c r="B36" s="15" t="s">
        <v>0</v>
      </c>
      <c r="C36" s="9" t="s">
        <v>17</v>
      </c>
      <c r="D36" s="10">
        <v>4</v>
      </c>
      <c r="E36" s="10">
        <v>8</v>
      </c>
      <c r="F36" s="10">
        <v>16</v>
      </c>
      <c r="G36" s="10">
        <v>0</v>
      </c>
      <c r="H36" s="11">
        <v>2</v>
      </c>
      <c r="I36" s="12">
        <f>Table1[[#This Row], [n_mpi_procs]]*Table1[[#This Row], [n_omp_threads]]</f>
        <v>128</v>
      </c>
      <c r="J36" s="12">
        <f>Table1[[#This Row], [n_omp_threads]]*Table1[[#This Row], [n_mpi_procs]]</f>
        <v>128</v>
      </c>
      <c r="K36" s="17">
        <f>Table1[[#This Row], [total_devices]]/Table1[[#This Row], [n_nodes]]</f>
        <v>32</v>
      </c>
    </row>
    <row r="37" spans="1:11" x14ac:dyDescent="0.25">
      <c r="A37" s="14" t="s">
        <v>5</v>
      </c>
      <c r="B37" s="15" t="s">
        <v>0</v>
      </c>
      <c r="C37" s="9" t="s">
        <v>17</v>
      </c>
      <c r="D37" s="10">
        <v>4</v>
      </c>
      <c r="E37" s="10">
        <v>16</v>
      </c>
      <c r="F37" s="10">
        <v>8</v>
      </c>
      <c r="G37" s="10">
        <v>0</v>
      </c>
      <c r="H37" s="11">
        <v>2</v>
      </c>
      <c r="I37" s="12">
        <f>Table1[[#This Row], [n_mpi_procs]]*Table1[[#This Row], [n_omp_threads]]</f>
        <v>128</v>
      </c>
      <c r="J37" s="12">
        <f>Table1[[#This Row], [n_omp_threads]]*Table1[[#This Row], [n_mpi_procs]]</f>
        <v>128</v>
      </c>
      <c r="K37" s="17">
        <f>Table1[[#This Row], [total_devices]]/Table1[[#This Row], [n_nodes]]</f>
        <v>32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2026-02-27T14:36:54Z</dcterms:modified>
</cp:coreProperties>
</file>