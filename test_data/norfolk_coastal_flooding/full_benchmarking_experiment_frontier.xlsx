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912B56BB-603B-4FDB-8F8B-A6C2D068F3BE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" i="1" l="1"/>
  <c r="I54" i="1"/>
  <c r="J54" i="1" s="1"/>
  <c r="H53" i="1"/>
  <c r="I53" i="1"/>
  <c r="J53" i="1" s="1"/>
  <c r="H52" i="1"/>
  <c r="I52" i="1"/>
  <c r="J52" i="1" s="1"/>
  <c r="H45" i="1"/>
  <c r="I45" i="1"/>
  <c r="J45" i="1" s="1"/>
  <c r="H39" i="1"/>
  <c r="I39" i="1"/>
  <c r="J39" i="1" s="1"/>
  <c r="I10" i="1"/>
  <c r="J10" i="1" s="1"/>
  <c r="I3" i="1"/>
  <c r="J3" i="1" s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38" i="1"/>
  <c r="J38" i="1" s="1"/>
  <c r="I46" i="1"/>
  <c r="J46" i="1" s="1"/>
  <c r="I55" i="1"/>
  <c r="J55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40" i="1"/>
  <c r="J40" i="1" s="1"/>
  <c r="I44" i="1"/>
  <c r="J44" i="1" s="1"/>
  <c r="I41" i="1"/>
  <c r="J41" i="1" s="1"/>
  <c r="I42" i="1"/>
  <c r="J42" i="1" s="1"/>
  <c r="I50" i="1"/>
  <c r="J50" i="1" s="1"/>
  <c r="I47" i="1"/>
  <c r="J47" i="1" s="1"/>
  <c r="I49" i="1"/>
  <c r="J49" i="1" s="1"/>
  <c r="I48" i="1"/>
  <c r="J48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43" i="1"/>
  <c r="J43" i="1" s="1"/>
  <c r="I51" i="1"/>
  <c r="J5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2" i="1"/>
  <c r="J2" i="1" s="1"/>
  <c r="H3" i="1"/>
  <c r="H4" i="1"/>
  <c r="H5" i="1"/>
  <c r="H6" i="1"/>
  <c r="H7" i="1"/>
  <c r="H8" i="1"/>
  <c r="H9" i="1"/>
  <c r="H38" i="1"/>
  <c r="H46" i="1"/>
  <c r="H55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40" i="1"/>
  <c r="H44" i="1"/>
  <c r="H41" i="1"/>
  <c r="H42" i="1"/>
  <c r="H50" i="1"/>
  <c r="H47" i="1"/>
  <c r="H49" i="1"/>
  <c r="H48" i="1"/>
  <c r="H26" i="1"/>
  <c r="H27" i="1"/>
  <c r="H28" i="1"/>
  <c r="H29" i="1"/>
  <c r="H30" i="1"/>
  <c r="H31" i="1"/>
  <c r="H43" i="1"/>
  <c r="H51" i="1"/>
  <c r="H32" i="1"/>
  <c r="H33" i="1"/>
  <c r="H34" i="1"/>
  <c r="H35" i="1"/>
  <c r="H36" i="1"/>
  <c r="H37" i="1"/>
  <c r="H2" i="1"/>
</calcChain>
</file>

<file path=xl/sharedStrings.xml><?xml version="1.0" encoding="utf-8"?>
<sst xmlns="http://schemas.openxmlformats.org/spreadsheetml/2006/main" count="172" uniqueCount="21">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</sst>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21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2" fillId="2" borderId="11" xfId="1" applyBorder="1"/>
    <xf numFmtId="0" fontId="3" fillId="3" borderId="11" xfId="2" applyBorder="1"/>
    <xf numFmtId="0" fontId="3" fillId="3" borderId="12" xfId="2" applyNumberFormat="1" applyBorder="1"/>
    <xf numFmtId="0" fontId="5" fillId="0" borderId="13" xfId="0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3" fontId="2" fillId="2" borderId="11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4" fillId="4" borderId="10" xfId="3" applyFont="1" applyBorder="1" applyAlignment="1">
      <alignment horizontal="left"/>
    </xf>
    <xf numFmtId="0" fontId="4" fillId="4" borderId="11" xfId="3" applyFont="1" applyBorder="1" applyAlignment="1">
      <alignment horizontal="left"/>
    </xf>
    <xf numFmtId="0" fontId="2" fillId="2" borderId="4" xfId="1" applyNumberFormat="1" applyBorder="1"/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4"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0</xdr:row>
      <xdr:rowOff>104775</xdr:rowOff>
    </xdr:from>
    <xdr:to>
      <xdr:col>18</xdr:col>
      <xdr:colOff>66675</xdr:colOff>
      <xdr:row>1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2706350" y="104775"/>
          <a:ext cx="4276725" cy="2247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J55" totalsRowShown="0" headerRowDxfId="13" headerRowBorderDxfId="12" tableBorderDxfId="11" totalsRowBorderDxfId="10">
  <autoFilter ref="A1:J55" xr:uid="{1A4495C6-64F1-4654-82C3-1417CFDBC1D1}"/>
  <tableColumns count="10">
    <tableColumn id="11" xr3:uid="{3DECB62C-AAF2-4EC7-8598-5E8776D4B845}" name="hardware_utilization_strategy" dataDxfId="9" dataCellStyle="Note"/>
    <tableColumn id="9" xr3:uid="{047B8296-C28F-43DA-A753-CC6445B34CE4}" name="device" dataDxfId="8" dataCellStyle="Note"/>
    <tableColumn id="1" xr3:uid="{16000747-EB63-4EDF-971B-D9460636B6A5}" name="run_mode" dataDxfId="7" dataCellStyle="Input"/>
    <tableColumn id="2" xr3:uid="{09DC1F4B-B2B0-493A-B83E-1D7D4EA31F4C}" name="n_nodes" dataDxfId="6" dataCellStyle="Input"/>
    <tableColumn id="3" xr3:uid="{3A65E5E5-CB8B-4698-A27C-21DF3A95D49A}" name="n_mpi_procs" dataDxfId="5" dataCellStyle="Input"/>
    <tableColumn id="4" xr3:uid="{D366E835-7967-45B3-94DD-92B04C3126AA}" name="n_omp_threads" dataDxfId="4" dataCellStyle="Input"/>
    <tableColumn id="8" xr3:uid="{53D9FE6F-92F7-4A3A-B94F-6A698F029BE0}" name="n_gpus" dataDxfId="3" dataCellStyle="Input"/>
    <tableColumn id="6" xr3:uid="{F6B7A6B4-BD4B-4406-BCB7-C3DBCC48FA6B}" name="total_OpenMP_threads" dataDxfId="2" dataCellStyle="Output">
      <calculatedColumnFormula>Table1[[#This Row],[n_mpi_procs]]*Table1[[#This Row],[n_omp_threads]]</calculatedColumnFormula>
    </tableColumn>
    <tableColumn id="7" xr3:uid="{8B064801-C992-4C19-AF9B-73CC7D0951B1}" name="total_devices" dataDxfId="1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0" dataCellStyle="Output">
      <calculatedColumnFormula>Table1[[#This Row],[total_devices]]/Table1[[#This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tabSelected="1" workbookViewId="0">
      <selection activeCell="G7" sqref="G7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7" width="28.28515625" customWidth="1"/>
    <col min="8" max="8" width="24.7109375" bestFit="1" customWidth="1"/>
    <col min="9" max="9" width="19" customWidth="1"/>
    <col min="10" max="10" width="19.85546875" bestFit="1" customWidth="1"/>
  </cols>
  <sheetData>
    <row r="1" spans="1:10" x14ac:dyDescent="0.25">
      <c r="A1" s="1" t="s">
        <v>7</v>
      </c>
      <c r="B1" s="2" t="s">
        <v>8</v>
      </c>
      <c r="C1" s="12" t="s">
        <v>11</v>
      </c>
      <c r="D1" s="13" t="s">
        <v>12</v>
      </c>
      <c r="E1" s="13" t="s">
        <v>13</v>
      </c>
      <c r="F1" s="13" t="s">
        <v>14</v>
      </c>
      <c r="G1" s="13" t="s">
        <v>15</v>
      </c>
      <c r="H1" s="2" t="s">
        <v>9</v>
      </c>
      <c r="I1" s="2" t="s">
        <v>10</v>
      </c>
      <c r="J1" s="3" t="s">
        <v>6</v>
      </c>
    </row>
    <row r="2" spans="1:10" x14ac:dyDescent="0.25">
      <c r="A2" s="4" t="s">
        <v>1</v>
      </c>
      <c r="B2" s="5" t="s">
        <v>1</v>
      </c>
      <c r="C2" s="6" t="s">
        <v>20</v>
      </c>
      <c r="D2" s="6">
        <v>1</v>
      </c>
      <c r="E2" s="6">
        <v>1</v>
      </c>
      <c r="F2" s="6">
        <v>1</v>
      </c>
      <c r="G2" s="6">
        <v>1</v>
      </c>
      <c r="H2" s="7">
        <f>Table1[[#This Row],[n_mpi_procs]]*Table1[[#This Row],[n_omp_threads]]</f>
        <v>1</v>
      </c>
      <c r="I2" s="7">
        <f>Table1[[#This Row],[n_omp_threads]]*Table1[[#This Row],[n_mpi_procs]]</f>
        <v>1</v>
      </c>
      <c r="J2" s="8">
        <f>Table1[[#This Row],[total_devices]]/Table1[[#This Row],[n_nodes]]</f>
        <v>1</v>
      </c>
    </row>
    <row r="3" spans="1:10" x14ac:dyDescent="0.25">
      <c r="A3" s="4" t="s">
        <v>1</v>
      </c>
      <c r="B3" s="5" t="s">
        <v>1</v>
      </c>
      <c r="C3" s="6" t="s">
        <v>20</v>
      </c>
      <c r="D3" s="6">
        <v>1</v>
      </c>
      <c r="E3" s="6">
        <v>2</v>
      </c>
      <c r="F3" s="6">
        <v>1</v>
      </c>
      <c r="G3" s="6">
        <v>2</v>
      </c>
      <c r="H3" s="7">
        <f>Table1[[#This Row],[n_mpi_procs]]*Table1[[#This Row],[n_omp_threads]]</f>
        <v>2</v>
      </c>
      <c r="I3" s="7">
        <f>Table1[[#This Row],[n_omp_threads]]*Table1[[#This Row],[n_mpi_procs]]</f>
        <v>2</v>
      </c>
      <c r="J3" s="8">
        <f>Table1[[#This Row],[total_devices]]/Table1[[#This Row],[n_nodes]]</f>
        <v>2</v>
      </c>
    </row>
    <row r="4" spans="1:10" x14ac:dyDescent="0.25">
      <c r="A4" s="4" t="s">
        <v>1</v>
      </c>
      <c r="B4" s="5" t="s">
        <v>1</v>
      </c>
      <c r="C4" s="6" t="s">
        <v>20</v>
      </c>
      <c r="D4" s="6">
        <v>1</v>
      </c>
      <c r="E4" s="6">
        <v>3</v>
      </c>
      <c r="F4" s="6">
        <v>1</v>
      </c>
      <c r="G4" s="6">
        <v>3</v>
      </c>
      <c r="H4" s="7">
        <f>Table1[[#This Row],[n_mpi_procs]]*Table1[[#This Row],[n_omp_threads]]</f>
        <v>3</v>
      </c>
      <c r="I4" s="7">
        <f>Table1[[#This Row],[n_omp_threads]]*Table1[[#This Row],[n_mpi_procs]]</f>
        <v>3</v>
      </c>
      <c r="J4" s="8">
        <f>Table1[[#This Row],[total_devices]]/Table1[[#This Row],[n_nodes]]</f>
        <v>3</v>
      </c>
    </row>
    <row r="5" spans="1:10" x14ac:dyDescent="0.25">
      <c r="A5" s="4" t="s">
        <v>1</v>
      </c>
      <c r="B5" s="5" t="s">
        <v>1</v>
      </c>
      <c r="C5" s="6" t="s">
        <v>20</v>
      </c>
      <c r="D5" s="6">
        <v>1</v>
      </c>
      <c r="E5" s="6">
        <v>4</v>
      </c>
      <c r="F5" s="6">
        <v>1</v>
      </c>
      <c r="G5" s="6">
        <v>4</v>
      </c>
      <c r="H5" s="7">
        <f>Table1[[#This Row],[n_mpi_procs]]*Table1[[#This Row],[n_omp_threads]]</f>
        <v>4</v>
      </c>
      <c r="I5" s="7">
        <f>Table1[[#This Row],[n_omp_threads]]*Table1[[#This Row],[n_mpi_procs]]</f>
        <v>4</v>
      </c>
      <c r="J5" s="8">
        <f>Table1[[#This Row],[total_devices]]/Table1[[#This Row],[n_nodes]]</f>
        <v>4</v>
      </c>
    </row>
    <row r="6" spans="1:10" x14ac:dyDescent="0.25">
      <c r="A6" s="4" t="s">
        <v>1</v>
      </c>
      <c r="B6" s="5" t="s">
        <v>1</v>
      </c>
      <c r="C6" s="6" t="s">
        <v>20</v>
      </c>
      <c r="D6" s="6">
        <v>1</v>
      </c>
      <c r="E6" s="6">
        <v>5</v>
      </c>
      <c r="F6" s="6">
        <v>1</v>
      </c>
      <c r="G6" s="6">
        <v>5</v>
      </c>
      <c r="H6" s="7">
        <f>Table1[[#This Row],[n_mpi_procs]]*Table1[[#This Row],[n_omp_threads]]</f>
        <v>5</v>
      </c>
      <c r="I6" s="7">
        <f>Table1[[#This Row],[n_omp_threads]]*Table1[[#This Row],[n_mpi_procs]]</f>
        <v>5</v>
      </c>
      <c r="J6" s="8">
        <f>Table1[[#This Row],[total_devices]]/Table1[[#This Row],[n_nodes]]</f>
        <v>5</v>
      </c>
    </row>
    <row r="7" spans="1:10" x14ac:dyDescent="0.25">
      <c r="A7" s="4" t="s">
        <v>1</v>
      </c>
      <c r="B7" s="5" t="s">
        <v>1</v>
      </c>
      <c r="C7" s="6" t="s">
        <v>20</v>
      </c>
      <c r="D7" s="6">
        <v>1</v>
      </c>
      <c r="E7" s="6">
        <v>6</v>
      </c>
      <c r="F7" s="6">
        <v>1</v>
      </c>
      <c r="G7" s="6">
        <v>6</v>
      </c>
      <c r="H7" s="7">
        <f>Table1[[#This Row],[n_mpi_procs]]*Table1[[#This Row],[n_omp_threads]]</f>
        <v>6</v>
      </c>
      <c r="I7" s="7">
        <f>Table1[[#This Row],[n_omp_threads]]*Table1[[#This Row],[n_mpi_procs]]</f>
        <v>6</v>
      </c>
      <c r="J7" s="8">
        <f>Table1[[#This Row],[total_devices]]/Table1[[#This Row],[n_nodes]]</f>
        <v>6</v>
      </c>
    </row>
    <row r="8" spans="1:10" x14ac:dyDescent="0.25">
      <c r="A8" s="4" t="s">
        <v>1</v>
      </c>
      <c r="B8" s="5" t="s">
        <v>1</v>
      </c>
      <c r="C8" s="6" t="s">
        <v>20</v>
      </c>
      <c r="D8" s="6">
        <v>1</v>
      </c>
      <c r="E8" s="6">
        <v>7</v>
      </c>
      <c r="F8" s="6">
        <v>1</v>
      </c>
      <c r="G8" s="6">
        <v>7</v>
      </c>
      <c r="H8" s="7">
        <f>Table1[[#This Row],[n_mpi_procs]]*Table1[[#This Row],[n_omp_threads]]</f>
        <v>7</v>
      </c>
      <c r="I8" s="7">
        <f>Table1[[#This Row],[n_omp_threads]]*Table1[[#This Row],[n_mpi_procs]]</f>
        <v>7</v>
      </c>
      <c r="J8" s="8">
        <f>Table1[[#This Row],[total_devices]]/Table1[[#This Row],[n_nodes]]</f>
        <v>7</v>
      </c>
    </row>
    <row r="9" spans="1:10" x14ac:dyDescent="0.25">
      <c r="A9" s="4" t="s">
        <v>1</v>
      </c>
      <c r="B9" s="5" t="s">
        <v>1</v>
      </c>
      <c r="C9" s="6" t="s">
        <v>20</v>
      </c>
      <c r="D9" s="6">
        <v>1</v>
      </c>
      <c r="E9" s="6">
        <v>8</v>
      </c>
      <c r="F9" s="6">
        <v>1</v>
      </c>
      <c r="G9" s="6">
        <v>8</v>
      </c>
      <c r="H9" s="7">
        <f>Table1[[#This Row],[n_mpi_procs]]*Table1[[#This Row],[n_omp_threads]]</f>
        <v>8</v>
      </c>
      <c r="I9" s="7">
        <f>Table1[[#This Row],[n_omp_threads]]*Table1[[#This Row],[n_mpi_procs]]</f>
        <v>8</v>
      </c>
      <c r="J9" s="8">
        <f>Table1[[#This Row],[total_devices]]/Table1[[#This Row],[n_nodes]]</f>
        <v>8</v>
      </c>
    </row>
    <row r="10" spans="1:10" x14ac:dyDescent="0.25">
      <c r="A10" s="16" t="s">
        <v>2</v>
      </c>
      <c r="B10" s="17" t="s">
        <v>0</v>
      </c>
      <c r="C10" s="14" t="s">
        <v>16</v>
      </c>
      <c r="D10" s="14">
        <v>1</v>
      </c>
      <c r="E10" s="14">
        <v>1</v>
      </c>
      <c r="F10" s="14">
        <v>1</v>
      </c>
      <c r="G10" s="6">
        <v>0</v>
      </c>
      <c r="H10" s="7">
        <f>Table1[[#This Row],[n_mpi_procs]]*Table1[[#This Row],[n_omp_threads]]</f>
        <v>1</v>
      </c>
      <c r="I10" s="7">
        <f>Table1[[#This Row],[n_omp_threads]]*Table1[[#This Row],[n_mpi_procs]]</f>
        <v>1</v>
      </c>
      <c r="J10" s="8">
        <f>Table1[[#This Row],[total_devices]]/Table1[[#This Row],[n_nodes]]</f>
        <v>1</v>
      </c>
    </row>
    <row r="11" spans="1:10" x14ac:dyDescent="0.25">
      <c r="A11" s="16" t="s">
        <v>5</v>
      </c>
      <c r="B11" s="17" t="s">
        <v>0</v>
      </c>
      <c r="C11" s="14" t="s">
        <v>17</v>
      </c>
      <c r="D11" s="14">
        <v>1</v>
      </c>
      <c r="E11" s="14">
        <v>2</v>
      </c>
      <c r="F11" s="14">
        <v>2</v>
      </c>
      <c r="G11" s="6">
        <v>0</v>
      </c>
      <c r="H11" s="7">
        <f>Table1[[#This Row],[n_mpi_procs]]*Table1[[#This Row],[n_omp_threads]]</f>
        <v>4</v>
      </c>
      <c r="I11" s="7">
        <f>Table1[[#This Row],[n_omp_threads]]*Table1[[#This Row],[n_mpi_procs]]</f>
        <v>4</v>
      </c>
      <c r="J11" s="8">
        <f>Table1[[#This Row],[total_devices]]/Table1[[#This Row],[n_nodes]]</f>
        <v>4</v>
      </c>
    </row>
    <row r="12" spans="1:10" x14ac:dyDescent="0.25">
      <c r="A12" s="18" t="s">
        <v>5</v>
      </c>
      <c r="B12" s="19" t="s">
        <v>0</v>
      </c>
      <c r="C12" s="14" t="s">
        <v>17</v>
      </c>
      <c r="D12" s="15">
        <v>1</v>
      </c>
      <c r="E12" s="14">
        <v>2</v>
      </c>
      <c r="F12" s="15">
        <v>4</v>
      </c>
      <c r="G12" s="6">
        <v>0</v>
      </c>
      <c r="H12" s="7">
        <f>Table1[[#This Row],[n_mpi_procs]]*Table1[[#This Row],[n_omp_threads]]</f>
        <v>8</v>
      </c>
      <c r="I12" s="7">
        <f>Table1[[#This Row],[n_omp_threads]]*Table1[[#This Row],[n_mpi_procs]]</f>
        <v>8</v>
      </c>
      <c r="J12" s="11">
        <f>Table1[[#This Row],[total_devices]]/Table1[[#This Row],[n_nodes]]</f>
        <v>8</v>
      </c>
    </row>
    <row r="13" spans="1:10" x14ac:dyDescent="0.25">
      <c r="A13" s="16" t="s">
        <v>5</v>
      </c>
      <c r="B13" s="17" t="s">
        <v>0</v>
      </c>
      <c r="C13" s="14" t="s">
        <v>17</v>
      </c>
      <c r="D13" s="14">
        <v>1</v>
      </c>
      <c r="E13" s="14">
        <v>4</v>
      </c>
      <c r="F13" s="14">
        <v>2</v>
      </c>
      <c r="G13" s="6">
        <v>0</v>
      </c>
      <c r="H13" s="7">
        <f>Table1[[#This Row],[n_mpi_procs]]*Table1[[#This Row],[n_omp_threads]]</f>
        <v>8</v>
      </c>
      <c r="I13" s="7">
        <f>Table1[[#This Row],[n_omp_threads]]*Table1[[#This Row],[n_mpi_procs]]</f>
        <v>8</v>
      </c>
      <c r="J13" s="11">
        <f>Table1[[#This Row],[total_devices]]/Table1[[#This Row],[n_nodes]]</f>
        <v>8</v>
      </c>
    </row>
    <row r="14" spans="1:10" x14ac:dyDescent="0.25">
      <c r="A14" s="16" t="s">
        <v>5</v>
      </c>
      <c r="B14" s="17" t="s">
        <v>0</v>
      </c>
      <c r="C14" s="14" t="s">
        <v>17</v>
      </c>
      <c r="D14" s="14">
        <v>1</v>
      </c>
      <c r="E14" s="14">
        <v>4</v>
      </c>
      <c r="F14" s="14">
        <v>4</v>
      </c>
      <c r="G14" s="6">
        <v>0</v>
      </c>
      <c r="H14" s="7">
        <f>Table1[[#This Row],[n_mpi_procs]]*Table1[[#This Row],[n_omp_threads]]</f>
        <v>16</v>
      </c>
      <c r="I14" s="7">
        <f>Table1[[#This Row],[n_omp_threads]]*Table1[[#This Row],[n_mpi_procs]]</f>
        <v>16</v>
      </c>
      <c r="J14" s="11">
        <f>Table1[[#This Row],[total_devices]]/Table1[[#This Row],[n_nodes]]</f>
        <v>16</v>
      </c>
    </row>
    <row r="15" spans="1:10" x14ac:dyDescent="0.25">
      <c r="A15" s="16" t="s">
        <v>5</v>
      </c>
      <c r="B15" s="17" t="s">
        <v>0</v>
      </c>
      <c r="C15" s="14" t="s">
        <v>17</v>
      </c>
      <c r="D15" s="14">
        <v>1</v>
      </c>
      <c r="E15" s="14">
        <v>2</v>
      </c>
      <c r="F15" s="14">
        <v>8</v>
      </c>
      <c r="G15" s="6">
        <v>0</v>
      </c>
      <c r="H15" s="7">
        <f>Table1[[#This Row],[n_mpi_procs]]*Table1[[#This Row],[n_omp_threads]]</f>
        <v>16</v>
      </c>
      <c r="I15" s="7">
        <f>Table1[[#This Row],[n_omp_threads]]*Table1[[#This Row],[n_mpi_procs]]</f>
        <v>16</v>
      </c>
      <c r="J15" s="11">
        <f>Table1[[#This Row],[total_devices]]/Table1[[#This Row],[n_nodes]]</f>
        <v>16</v>
      </c>
    </row>
    <row r="16" spans="1:10" x14ac:dyDescent="0.25">
      <c r="A16" s="16" t="s">
        <v>5</v>
      </c>
      <c r="B16" s="17" t="s">
        <v>0</v>
      </c>
      <c r="C16" s="14" t="s">
        <v>17</v>
      </c>
      <c r="D16" s="14">
        <v>1</v>
      </c>
      <c r="E16" s="14">
        <v>8</v>
      </c>
      <c r="F16" s="14">
        <v>2</v>
      </c>
      <c r="G16" s="6">
        <v>0</v>
      </c>
      <c r="H16" s="7">
        <f>Table1[[#This Row],[n_mpi_procs]]*Table1[[#This Row],[n_omp_threads]]</f>
        <v>16</v>
      </c>
      <c r="I16" s="7">
        <f>Table1[[#This Row],[n_omp_threads]]*Table1[[#This Row],[n_mpi_procs]]</f>
        <v>16</v>
      </c>
      <c r="J16" s="11">
        <f>Table1[[#This Row],[total_devices]]/Table1[[#This Row],[n_nodes]]</f>
        <v>16</v>
      </c>
    </row>
    <row r="17" spans="1:10" x14ac:dyDescent="0.25">
      <c r="A17" s="16" t="s">
        <v>5</v>
      </c>
      <c r="B17" s="17" t="s">
        <v>0</v>
      </c>
      <c r="C17" s="14" t="s">
        <v>17</v>
      </c>
      <c r="D17" s="14">
        <v>1</v>
      </c>
      <c r="E17" s="14">
        <v>16</v>
      </c>
      <c r="F17" s="14">
        <v>2</v>
      </c>
      <c r="G17" s="6">
        <v>0</v>
      </c>
      <c r="H17" s="7">
        <f>Table1[[#This Row],[n_mpi_procs]]*Table1[[#This Row],[n_omp_threads]]</f>
        <v>32</v>
      </c>
      <c r="I17" s="7">
        <f>Table1[[#This Row],[n_omp_threads]]*Table1[[#This Row],[n_mpi_procs]]</f>
        <v>32</v>
      </c>
      <c r="J17" s="11">
        <f>Table1[[#This Row],[total_devices]]/Table1[[#This Row],[n_nodes]]</f>
        <v>32</v>
      </c>
    </row>
    <row r="18" spans="1:10" x14ac:dyDescent="0.25">
      <c r="A18" s="16" t="s">
        <v>5</v>
      </c>
      <c r="B18" s="17" t="s">
        <v>0</v>
      </c>
      <c r="C18" s="14" t="s">
        <v>17</v>
      </c>
      <c r="D18" s="14">
        <v>1</v>
      </c>
      <c r="E18" s="14">
        <v>2</v>
      </c>
      <c r="F18" s="14">
        <v>16</v>
      </c>
      <c r="G18" s="6">
        <v>0</v>
      </c>
      <c r="H18" s="7">
        <f>Table1[[#This Row],[n_mpi_procs]]*Table1[[#This Row],[n_omp_threads]]</f>
        <v>32</v>
      </c>
      <c r="I18" s="7">
        <f>Table1[[#This Row],[n_omp_threads]]*Table1[[#This Row],[n_mpi_procs]]</f>
        <v>32</v>
      </c>
      <c r="J18" s="11">
        <f>Table1[[#This Row],[total_devices]]/Table1[[#This Row],[n_nodes]]</f>
        <v>32</v>
      </c>
    </row>
    <row r="19" spans="1:10" x14ac:dyDescent="0.25">
      <c r="A19" s="16" t="s">
        <v>5</v>
      </c>
      <c r="B19" s="17" t="s">
        <v>0</v>
      </c>
      <c r="C19" s="14" t="s">
        <v>17</v>
      </c>
      <c r="D19" s="14">
        <v>1</v>
      </c>
      <c r="E19" s="14">
        <v>4</v>
      </c>
      <c r="F19" s="14">
        <v>8</v>
      </c>
      <c r="G19" s="6">
        <v>0</v>
      </c>
      <c r="H19" s="7">
        <f>Table1[[#This Row],[n_mpi_procs]]*Table1[[#This Row],[n_omp_threads]]</f>
        <v>32</v>
      </c>
      <c r="I19" s="7">
        <f>Table1[[#This Row],[n_omp_threads]]*Table1[[#This Row],[n_mpi_procs]]</f>
        <v>32</v>
      </c>
      <c r="J19" s="11">
        <f>Table1[[#This Row],[total_devices]]/Table1[[#This Row],[n_nodes]]</f>
        <v>32</v>
      </c>
    </row>
    <row r="20" spans="1:10" x14ac:dyDescent="0.25">
      <c r="A20" s="16" t="s">
        <v>5</v>
      </c>
      <c r="B20" s="17" t="s">
        <v>0</v>
      </c>
      <c r="C20" s="14" t="s">
        <v>17</v>
      </c>
      <c r="D20" s="14">
        <v>1</v>
      </c>
      <c r="E20" s="14">
        <v>8</v>
      </c>
      <c r="F20" s="14">
        <v>4</v>
      </c>
      <c r="G20" s="6">
        <v>0</v>
      </c>
      <c r="H20" s="7">
        <f>Table1[[#This Row],[n_mpi_procs]]*Table1[[#This Row],[n_omp_threads]]</f>
        <v>32</v>
      </c>
      <c r="I20" s="7">
        <f>Table1[[#This Row],[n_omp_threads]]*Table1[[#This Row],[n_mpi_procs]]</f>
        <v>32</v>
      </c>
      <c r="J20" s="11">
        <f>Table1[[#This Row],[total_devices]]/Table1[[#This Row],[n_nodes]]</f>
        <v>32</v>
      </c>
    </row>
    <row r="21" spans="1:10" x14ac:dyDescent="0.25">
      <c r="A21" s="16" t="s">
        <v>5</v>
      </c>
      <c r="B21" s="17" t="s">
        <v>0</v>
      </c>
      <c r="C21" s="14" t="s">
        <v>17</v>
      </c>
      <c r="D21" s="14">
        <v>1</v>
      </c>
      <c r="E21" s="14">
        <v>2</v>
      </c>
      <c r="F21" s="14">
        <v>32</v>
      </c>
      <c r="G21" s="6">
        <v>0</v>
      </c>
      <c r="H21" s="7">
        <f>Table1[[#This Row],[n_mpi_procs]]*Table1[[#This Row],[n_omp_threads]]</f>
        <v>64</v>
      </c>
      <c r="I21" s="7">
        <f>Table1[[#This Row],[n_omp_threads]]*Table1[[#This Row],[n_mpi_procs]]</f>
        <v>64</v>
      </c>
      <c r="J21" s="11">
        <f>Table1[[#This Row],[total_devices]]/Table1[[#This Row],[n_nodes]]</f>
        <v>64</v>
      </c>
    </row>
    <row r="22" spans="1:10" x14ac:dyDescent="0.25">
      <c r="A22" s="16" t="s">
        <v>5</v>
      </c>
      <c r="B22" s="17" t="s">
        <v>0</v>
      </c>
      <c r="C22" s="14" t="s">
        <v>17</v>
      </c>
      <c r="D22" s="14">
        <v>1</v>
      </c>
      <c r="E22" s="14">
        <v>32</v>
      </c>
      <c r="F22" s="14">
        <v>2</v>
      </c>
      <c r="G22" s="6">
        <v>0</v>
      </c>
      <c r="H22" s="7">
        <f>Table1[[#This Row],[n_mpi_procs]]*Table1[[#This Row],[n_omp_threads]]</f>
        <v>64</v>
      </c>
      <c r="I22" s="7">
        <f>Table1[[#This Row],[n_omp_threads]]*Table1[[#This Row],[n_mpi_procs]]</f>
        <v>64</v>
      </c>
      <c r="J22" s="11">
        <f>Table1[[#This Row],[total_devices]]/Table1[[#This Row],[n_nodes]]</f>
        <v>64</v>
      </c>
    </row>
    <row r="23" spans="1:10" x14ac:dyDescent="0.25">
      <c r="A23" s="16" t="s">
        <v>5</v>
      </c>
      <c r="B23" s="17" t="s">
        <v>0</v>
      </c>
      <c r="C23" s="14" t="s">
        <v>17</v>
      </c>
      <c r="D23" s="14">
        <v>1</v>
      </c>
      <c r="E23" s="14">
        <v>4</v>
      </c>
      <c r="F23" s="14">
        <v>16</v>
      </c>
      <c r="G23" s="6">
        <v>0</v>
      </c>
      <c r="H23" s="7">
        <f>Table1[[#This Row],[n_mpi_procs]]*Table1[[#This Row],[n_omp_threads]]</f>
        <v>64</v>
      </c>
      <c r="I23" s="7">
        <f>Table1[[#This Row],[n_omp_threads]]*Table1[[#This Row],[n_mpi_procs]]</f>
        <v>64</v>
      </c>
      <c r="J23" s="11">
        <f>Table1[[#This Row],[total_devices]]/Table1[[#This Row],[n_nodes]]</f>
        <v>64</v>
      </c>
    </row>
    <row r="24" spans="1:10" x14ac:dyDescent="0.25">
      <c r="A24" s="16" t="s">
        <v>5</v>
      </c>
      <c r="B24" s="17" t="s">
        <v>0</v>
      </c>
      <c r="C24" s="14" t="s">
        <v>17</v>
      </c>
      <c r="D24" s="14">
        <v>1</v>
      </c>
      <c r="E24" s="14">
        <v>16</v>
      </c>
      <c r="F24" s="14">
        <v>4</v>
      </c>
      <c r="G24" s="6">
        <v>0</v>
      </c>
      <c r="H24" s="7">
        <f>Table1[[#This Row],[n_mpi_procs]]*Table1[[#This Row],[n_omp_threads]]</f>
        <v>64</v>
      </c>
      <c r="I24" s="7">
        <f>Table1[[#This Row],[n_omp_threads]]*Table1[[#This Row],[n_mpi_procs]]</f>
        <v>64</v>
      </c>
      <c r="J24" s="11">
        <f>Table1[[#This Row],[total_devices]]/Table1[[#This Row],[n_nodes]]</f>
        <v>64</v>
      </c>
    </row>
    <row r="25" spans="1:10" x14ac:dyDescent="0.25">
      <c r="A25" s="16" t="s">
        <v>5</v>
      </c>
      <c r="B25" s="17" t="s">
        <v>0</v>
      </c>
      <c r="C25" s="14" t="s">
        <v>17</v>
      </c>
      <c r="D25" s="14">
        <v>1</v>
      </c>
      <c r="E25" s="14">
        <v>8</v>
      </c>
      <c r="F25" s="14">
        <v>8</v>
      </c>
      <c r="G25" s="6">
        <v>0</v>
      </c>
      <c r="H25" s="7">
        <f>Table1[[#This Row],[n_mpi_procs]]*Table1[[#This Row],[n_omp_threads]]</f>
        <v>64</v>
      </c>
      <c r="I25" s="7">
        <f>Table1[[#This Row],[n_omp_threads]]*Table1[[#This Row],[n_mpi_procs]]</f>
        <v>64</v>
      </c>
      <c r="J25" s="11">
        <f>Table1[[#This Row],[total_devices]]/Table1[[#This Row],[n_nodes]]</f>
        <v>64</v>
      </c>
    </row>
    <row r="26" spans="1:10" x14ac:dyDescent="0.25">
      <c r="A26" s="16" t="s">
        <v>4</v>
      </c>
      <c r="B26" s="17" t="s">
        <v>0</v>
      </c>
      <c r="C26" s="14" t="s">
        <v>18</v>
      </c>
      <c r="D26" s="14">
        <v>1</v>
      </c>
      <c r="E26" s="14">
        <v>2</v>
      </c>
      <c r="F26" s="14">
        <v>1</v>
      </c>
      <c r="G26" s="6">
        <v>0</v>
      </c>
      <c r="H26" s="7">
        <f>Table1[[#This Row],[n_mpi_procs]]*Table1[[#This Row],[n_omp_threads]]</f>
        <v>2</v>
      </c>
      <c r="I26" s="7">
        <f>Table1[[#This Row],[n_omp_threads]]*Table1[[#This Row],[n_mpi_procs]]</f>
        <v>2</v>
      </c>
      <c r="J26" s="11">
        <f>Table1[[#This Row],[total_devices]]/Table1[[#This Row],[n_nodes]]</f>
        <v>2</v>
      </c>
    </row>
    <row r="27" spans="1:10" x14ac:dyDescent="0.25">
      <c r="A27" s="16" t="s">
        <v>4</v>
      </c>
      <c r="B27" s="17" t="s">
        <v>0</v>
      </c>
      <c r="C27" s="14" t="s">
        <v>18</v>
      </c>
      <c r="D27" s="14">
        <v>1</v>
      </c>
      <c r="E27" s="14">
        <v>4</v>
      </c>
      <c r="F27" s="14">
        <v>1</v>
      </c>
      <c r="G27" s="6">
        <v>0</v>
      </c>
      <c r="H27" s="7">
        <f>Table1[[#This Row],[n_mpi_procs]]*Table1[[#This Row],[n_omp_threads]]</f>
        <v>4</v>
      </c>
      <c r="I27" s="7">
        <f>Table1[[#This Row],[n_omp_threads]]*Table1[[#This Row],[n_mpi_procs]]</f>
        <v>4</v>
      </c>
      <c r="J27" s="11">
        <f>Table1[[#This Row],[total_devices]]/Table1[[#This Row],[n_nodes]]</f>
        <v>4</v>
      </c>
    </row>
    <row r="28" spans="1:10" x14ac:dyDescent="0.25">
      <c r="A28" s="16" t="s">
        <v>4</v>
      </c>
      <c r="B28" s="17" t="s">
        <v>0</v>
      </c>
      <c r="C28" s="14" t="s">
        <v>18</v>
      </c>
      <c r="D28" s="14">
        <v>1</v>
      </c>
      <c r="E28" s="14">
        <v>8</v>
      </c>
      <c r="F28" s="14">
        <v>1</v>
      </c>
      <c r="G28" s="6">
        <v>0</v>
      </c>
      <c r="H28" s="7">
        <f>Table1[[#This Row],[n_mpi_procs]]*Table1[[#This Row],[n_omp_threads]]</f>
        <v>8</v>
      </c>
      <c r="I28" s="7">
        <f>Table1[[#This Row],[n_omp_threads]]*Table1[[#This Row],[n_mpi_procs]]</f>
        <v>8</v>
      </c>
      <c r="J28" s="11">
        <f>Table1[[#This Row],[total_devices]]/Table1[[#This Row],[n_nodes]]</f>
        <v>8</v>
      </c>
    </row>
    <row r="29" spans="1:10" x14ac:dyDescent="0.25">
      <c r="A29" s="16" t="s">
        <v>4</v>
      </c>
      <c r="B29" s="17" t="s">
        <v>0</v>
      </c>
      <c r="C29" s="14" t="s">
        <v>18</v>
      </c>
      <c r="D29" s="14">
        <v>1</v>
      </c>
      <c r="E29" s="14">
        <v>16</v>
      </c>
      <c r="F29" s="14">
        <v>1</v>
      </c>
      <c r="G29" s="6">
        <v>0</v>
      </c>
      <c r="H29" s="7">
        <f>Table1[[#This Row],[n_mpi_procs]]*Table1[[#This Row],[n_omp_threads]]</f>
        <v>16</v>
      </c>
      <c r="I29" s="7">
        <f>Table1[[#This Row],[n_omp_threads]]*Table1[[#This Row],[n_mpi_procs]]</f>
        <v>16</v>
      </c>
      <c r="J29" s="11">
        <f>Table1[[#This Row],[total_devices]]/Table1[[#This Row],[n_nodes]]</f>
        <v>16</v>
      </c>
    </row>
    <row r="30" spans="1:10" x14ac:dyDescent="0.25">
      <c r="A30" s="16" t="s">
        <v>4</v>
      </c>
      <c r="B30" s="17" t="s">
        <v>0</v>
      </c>
      <c r="C30" s="14" t="s">
        <v>18</v>
      </c>
      <c r="D30" s="14">
        <v>1</v>
      </c>
      <c r="E30" s="14">
        <v>32</v>
      </c>
      <c r="F30" s="14">
        <v>1</v>
      </c>
      <c r="G30" s="6">
        <v>0</v>
      </c>
      <c r="H30" s="7">
        <f>Table1[[#This Row],[n_mpi_procs]]*Table1[[#This Row],[n_omp_threads]]</f>
        <v>32</v>
      </c>
      <c r="I30" s="7">
        <f>Table1[[#This Row],[n_omp_threads]]*Table1[[#This Row],[n_mpi_procs]]</f>
        <v>32</v>
      </c>
      <c r="J30" s="11">
        <f>Table1[[#This Row],[total_devices]]/Table1[[#This Row],[n_nodes]]</f>
        <v>32</v>
      </c>
    </row>
    <row r="31" spans="1:10" x14ac:dyDescent="0.25">
      <c r="A31" s="16" t="s">
        <v>4</v>
      </c>
      <c r="B31" s="17" t="s">
        <v>0</v>
      </c>
      <c r="C31" s="14" t="s">
        <v>18</v>
      </c>
      <c r="D31" s="14">
        <v>1</v>
      </c>
      <c r="E31" s="14">
        <v>64</v>
      </c>
      <c r="F31" s="14">
        <v>1</v>
      </c>
      <c r="G31" s="6">
        <v>0</v>
      </c>
      <c r="H31" s="7">
        <f>Table1[[#This Row],[n_mpi_procs]]*Table1[[#This Row],[n_omp_threads]]</f>
        <v>64</v>
      </c>
      <c r="I31" s="7">
        <f>Table1[[#This Row],[n_omp_threads]]*Table1[[#This Row],[n_mpi_procs]]</f>
        <v>64</v>
      </c>
      <c r="J31" s="11">
        <f>Table1[[#This Row],[total_devices]]/Table1[[#This Row],[n_nodes]]</f>
        <v>64</v>
      </c>
    </row>
    <row r="32" spans="1:10" x14ac:dyDescent="0.25">
      <c r="A32" s="16" t="s">
        <v>3</v>
      </c>
      <c r="B32" s="17" t="s">
        <v>0</v>
      </c>
      <c r="C32" s="14" t="s">
        <v>19</v>
      </c>
      <c r="D32" s="14">
        <v>1</v>
      </c>
      <c r="E32" s="14">
        <v>1</v>
      </c>
      <c r="F32" s="14">
        <v>2</v>
      </c>
      <c r="G32" s="6">
        <v>0</v>
      </c>
      <c r="H32" s="7">
        <f>Table1[[#This Row],[n_mpi_procs]]*Table1[[#This Row],[n_omp_threads]]</f>
        <v>2</v>
      </c>
      <c r="I32" s="7">
        <f>Table1[[#This Row],[n_omp_threads]]*Table1[[#This Row],[n_mpi_procs]]</f>
        <v>2</v>
      </c>
      <c r="J32" s="11">
        <f>Table1[[#This Row],[total_devices]]/Table1[[#This Row],[n_nodes]]</f>
        <v>2</v>
      </c>
    </row>
    <row r="33" spans="1:10" x14ac:dyDescent="0.25">
      <c r="A33" s="16" t="s">
        <v>3</v>
      </c>
      <c r="B33" s="17" t="s">
        <v>0</v>
      </c>
      <c r="C33" s="14" t="s">
        <v>19</v>
      </c>
      <c r="D33" s="14">
        <v>1</v>
      </c>
      <c r="E33" s="14">
        <v>1</v>
      </c>
      <c r="F33" s="14">
        <v>4</v>
      </c>
      <c r="G33" s="6">
        <v>0</v>
      </c>
      <c r="H33" s="7">
        <f>Table1[[#This Row],[n_mpi_procs]]*Table1[[#This Row],[n_omp_threads]]</f>
        <v>4</v>
      </c>
      <c r="I33" s="7">
        <f>Table1[[#This Row],[n_omp_threads]]*Table1[[#This Row],[n_mpi_procs]]</f>
        <v>4</v>
      </c>
      <c r="J33" s="11">
        <f>Table1[[#This Row],[total_devices]]/Table1[[#This Row],[n_nodes]]</f>
        <v>4</v>
      </c>
    </row>
    <row r="34" spans="1:10" x14ac:dyDescent="0.25">
      <c r="A34" s="16" t="s">
        <v>3</v>
      </c>
      <c r="B34" s="17" t="s">
        <v>0</v>
      </c>
      <c r="C34" s="14" t="s">
        <v>19</v>
      </c>
      <c r="D34" s="14">
        <v>1</v>
      </c>
      <c r="E34" s="14">
        <v>1</v>
      </c>
      <c r="F34" s="14">
        <v>8</v>
      </c>
      <c r="G34" s="6">
        <v>0</v>
      </c>
      <c r="H34" s="7">
        <f>Table1[[#This Row],[n_mpi_procs]]*Table1[[#This Row],[n_omp_threads]]</f>
        <v>8</v>
      </c>
      <c r="I34" s="7">
        <f>Table1[[#This Row],[n_omp_threads]]*Table1[[#This Row],[n_mpi_procs]]</f>
        <v>8</v>
      </c>
      <c r="J34" s="11">
        <f>Table1[[#This Row],[total_devices]]/Table1[[#This Row],[n_nodes]]</f>
        <v>8</v>
      </c>
    </row>
    <row r="35" spans="1:10" x14ac:dyDescent="0.25">
      <c r="A35" s="16" t="s">
        <v>3</v>
      </c>
      <c r="B35" s="17" t="s">
        <v>0</v>
      </c>
      <c r="C35" s="14" t="s">
        <v>19</v>
      </c>
      <c r="D35" s="14">
        <v>1</v>
      </c>
      <c r="E35" s="14">
        <v>1</v>
      </c>
      <c r="F35" s="14">
        <v>16</v>
      </c>
      <c r="G35" s="6">
        <v>0</v>
      </c>
      <c r="H35" s="7">
        <f>Table1[[#This Row],[n_mpi_procs]]*Table1[[#This Row],[n_omp_threads]]</f>
        <v>16</v>
      </c>
      <c r="I35" s="7">
        <f>Table1[[#This Row],[n_omp_threads]]*Table1[[#This Row],[n_mpi_procs]]</f>
        <v>16</v>
      </c>
      <c r="J35" s="11">
        <f>Table1[[#This Row],[total_devices]]/Table1[[#This Row],[n_nodes]]</f>
        <v>16</v>
      </c>
    </row>
    <row r="36" spans="1:10" x14ac:dyDescent="0.25">
      <c r="A36" s="16" t="s">
        <v>3</v>
      </c>
      <c r="B36" s="17" t="s">
        <v>0</v>
      </c>
      <c r="C36" s="14" t="s">
        <v>19</v>
      </c>
      <c r="D36" s="14">
        <v>1</v>
      </c>
      <c r="E36" s="14">
        <v>1</v>
      </c>
      <c r="F36" s="14">
        <v>32</v>
      </c>
      <c r="G36" s="6">
        <v>0</v>
      </c>
      <c r="H36" s="7">
        <f>Table1[[#This Row],[n_mpi_procs]]*Table1[[#This Row],[n_omp_threads]]</f>
        <v>32</v>
      </c>
      <c r="I36" s="7">
        <f>Table1[[#This Row],[n_omp_threads]]*Table1[[#This Row],[n_mpi_procs]]</f>
        <v>32</v>
      </c>
      <c r="J36" s="11">
        <f>Table1[[#This Row],[total_devices]]/Table1[[#This Row],[n_nodes]]</f>
        <v>32</v>
      </c>
    </row>
    <row r="37" spans="1:10" x14ac:dyDescent="0.25">
      <c r="A37" s="16" t="s">
        <v>3</v>
      </c>
      <c r="B37" s="17" t="s">
        <v>0</v>
      </c>
      <c r="C37" s="14" t="s">
        <v>19</v>
      </c>
      <c r="D37" s="14">
        <v>1</v>
      </c>
      <c r="E37" s="14">
        <v>1</v>
      </c>
      <c r="F37" s="14">
        <v>64</v>
      </c>
      <c r="G37" s="6">
        <v>0</v>
      </c>
      <c r="H37" s="7">
        <f>Table1[[#This Row],[n_mpi_procs]]*Table1[[#This Row],[n_omp_threads]]</f>
        <v>64</v>
      </c>
      <c r="I37" s="7">
        <f>Table1[[#This Row],[n_omp_threads]]*Table1[[#This Row],[n_mpi_procs]]</f>
        <v>64</v>
      </c>
      <c r="J37" s="11">
        <f>Table1[[#This Row],[total_devices]]/Table1[[#This Row],[n_nodes]]</f>
        <v>64</v>
      </c>
    </row>
    <row r="38" spans="1:10" x14ac:dyDescent="0.25">
      <c r="A38" s="4" t="s">
        <v>1</v>
      </c>
      <c r="B38" s="5" t="s">
        <v>1</v>
      </c>
      <c r="C38" s="6" t="s">
        <v>20</v>
      </c>
      <c r="D38" s="6">
        <v>2</v>
      </c>
      <c r="E38" s="6">
        <v>16</v>
      </c>
      <c r="F38" s="6">
        <v>1</v>
      </c>
      <c r="G38" s="6">
        <v>16</v>
      </c>
      <c r="H38" s="7">
        <f>Table1[[#This Row],[n_mpi_procs]]*Table1[[#This Row],[n_omp_threads]]</f>
        <v>16</v>
      </c>
      <c r="I38" s="7">
        <f>Table1[[#This Row],[n_omp_threads]]*Table1[[#This Row],[n_mpi_procs]]</f>
        <v>16</v>
      </c>
      <c r="J38" s="11">
        <f>Table1[[#This Row],[total_devices]]/Table1[[#This Row],[n_nodes]]</f>
        <v>8</v>
      </c>
    </row>
    <row r="39" spans="1:10" x14ac:dyDescent="0.25">
      <c r="A39" s="16" t="s">
        <v>5</v>
      </c>
      <c r="B39" s="17" t="s">
        <v>0</v>
      </c>
      <c r="C39" s="14" t="s">
        <v>17</v>
      </c>
      <c r="D39" s="6">
        <v>2</v>
      </c>
      <c r="E39" s="6">
        <v>2</v>
      </c>
      <c r="F39" s="6">
        <v>64</v>
      </c>
      <c r="G39" s="20">
        <v>0</v>
      </c>
      <c r="H39" s="7">
        <f>Table1[[#This Row],[n_mpi_procs]]*Table1[[#This Row],[n_omp_threads]]</f>
        <v>128</v>
      </c>
      <c r="I39" s="7">
        <f>Table1[[#This Row],[n_omp_threads]]*Table1[[#This Row],[n_mpi_procs]]</f>
        <v>128</v>
      </c>
      <c r="J39" s="11">
        <f>Table1[[#This Row],[total_devices]]/Table1[[#This Row],[n_nodes]]</f>
        <v>64</v>
      </c>
    </row>
    <row r="40" spans="1:10" x14ac:dyDescent="0.25">
      <c r="A40" s="16" t="s">
        <v>5</v>
      </c>
      <c r="B40" s="17" t="s">
        <v>0</v>
      </c>
      <c r="C40" s="14" t="s">
        <v>17</v>
      </c>
      <c r="D40" s="14">
        <v>2</v>
      </c>
      <c r="E40" s="14">
        <v>4</v>
      </c>
      <c r="F40" s="14">
        <v>32</v>
      </c>
      <c r="G40" s="6">
        <v>0</v>
      </c>
      <c r="H40" s="7">
        <f>Table1[[#This Row],[n_mpi_procs]]*Table1[[#This Row],[n_omp_threads]]</f>
        <v>128</v>
      </c>
      <c r="I40" s="7">
        <f>Table1[[#This Row],[n_omp_threads]]*Table1[[#This Row],[n_mpi_procs]]</f>
        <v>128</v>
      </c>
      <c r="J40" s="11">
        <f>Table1[[#This Row],[total_devices]]/Table1[[#This Row],[n_nodes]]</f>
        <v>64</v>
      </c>
    </row>
    <row r="41" spans="1:10" x14ac:dyDescent="0.25">
      <c r="A41" s="16" t="s">
        <v>5</v>
      </c>
      <c r="B41" s="17" t="s">
        <v>0</v>
      </c>
      <c r="C41" s="14" t="s">
        <v>17</v>
      </c>
      <c r="D41" s="14">
        <v>2</v>
      </c>
      <c r="E41" s="14">
        <v>8</v>
      </c>
      <c r="F41" s="14">
        <v>16</v>
      </c>
      <c r="G41" s="6">
        <v>0</v>
      </c>
      <c r="H41" s="7">
        <f>Table1[[#This Row],[n_mpi_procs]]*Table1[[#This Row],[n_omp_threads]]</f>
        <v>128</v>
      </c>
      <c r="I41" s="7">
        <f>Table1[[#This Row],[n_omp_threads]]*Table1[[#This Row],[n_mpi_procs]]</f>
        <v>128</v>
      </c>
      <c r="J41" s="11">
        <f>Table1[[#This Row],[total_devices]]/Table1[[#This Row],[n_nodes]]</f>
        <v>64</v>
      </c>
    </row>
    <row r="42" spans="1:10" x14ac:dyDescent="0.25">
      <c r="A42" s="16" t="s">
        <v>5</v>
      </c>
      <c r="B42" s="17" t="s">
        <v>0</v>
      </c>
      <c r="C42" s="14" t="s">
        <v>17</v>
      </c>
      <c r="D42" s="14">
        <v>2</v>
      </c>
      <c r="E42" s="14">
        <v>16</v>
      </c>
      <c r="F42" s="14">
        <v>8</v>
      </c>
      <c r="G42" s="6">
        <v>0</v>
      </c>
      <c r="H42" s="7">
        <f>Table1[[#This Row],[n_mpi_procs]]*Table1[[#This Row],[n_omp_threads]]</f>
        <v>128</v>
      </c>
      <c r="I42" s="7">
        <f>Table1[[#This Row],[n_omp_threads]]*Table1[[#This Row],[n_mpi_procs]]</f>
        <v>128</v>
      </c>
      <c r="J42" s="11">
        <f>Table1[[#This Row],[total_devices]]/Table1[[#This Row],[n_nodes]]</f>
        <v>64</v>
      </c>
    </row>
    <row r="43" spans="1:10" x14ac:dyDescent="0.25">
      <c r="A43" s="16" t="s">
        <v>4</v>
      </c>
      <c r="B43" s="17" t="s">
        <v>0</v>
      </c>
      <c r="C43" s="14" t="s">
        <v>18</v>
      </c>
      <c r="D43" s="14">
        <v>2</v>
      </c>
      <c r="E43" s="14">
        <v>128</v>
      </c>
      <c r="F43" s="14">
        <v>1</v>
      </c>
      <c r="G43" s="6">
        <v>0</v>
      </c>
      <c r="H43" s="7">
        <f>Table1[[#This Row],[n_mpi_procs]]*Table1[[#This Row],[n_omp_threads]]</f>
        <v>128</v>
      </c>
      <c r="I43" s="7">
        <f>Table1[[#This Row],[n_omp_threads]]*Table1[[#This Row],[n_mpi_procs]]</f>
        <v>128</v>
      </c>
      <c r="J43" s="11">
        <f>Table1[[#This Row],[total_devices]]/Table1[[#This Row],[n_nodes]]</f>
        <v>64</v>
      </c>
    </row>
    <row r="44" spans="1:10" x14ac:dyDescent="0.25">
      <c r="A44" s="16" t="s">
        <v>5</v>
      </c>
      <c r="B44" s="17" t="s">
        <v>0</v>
      </c>
      <c r="C44" s="14" t="s">
        <v>17</v>
      </c>
      <c r="D44" s="14">
        <v>2</v>
      </c>
      <c r="E44" s="14">
        <v>32</v>
      </c>
      <c r="F44" s="14">
        <v>4</v>
      </c>
      <c r="G44" s="6">
        <v>0</v>
      </c>
      <c r="H44" s="7">
        <f>Table1[[#This Row],[n_mpi_procs]]*Table1[[#This Row],[n_omp_threads]]</f>
        <v>128</v>
      </c>
      <c r="I44" s="7">
        <f>Table1[[#This Row],[n_omp_threads]]*Table1[[#This Row],[n_mpi_procs]]</f>
        <v>128</v>
      </c>
      <c r="J44" s="11">
        <f>Table1[[#This Row],[total_devices]]/Table1[[#This Row],[n_nodes]]</f>
        <v>64</v>
      </c>
    </row>
    <row r="45" spans="1:10" x14ac:dyDescent="0.25">
      <c r="A45" s="16" t="s">
        <v>5</v>
      </c>
      <c r="B45" s="17" t="s">
        <v>0</v>
      </c>
      <c r="C45" s="14" t="s">
        <v>17</v>
      </c>
      <c r="D45" s="14">
        <v>2</v>
      </c>
      <c r="E45" s="6">
        <v>64</v>
      </c>
      <c r="F45" s="6">
        <v>2</v>
      </c>
      <c r="G45" s="20">
        <v>0</v>
      </c>
      <c r="H45" s="7">
        <f>Table1[[#This Row],[n_mpi_procs]]*Table1[[#This Row],[n_omp_threads]]</f>
        <v>128</v>
      </c>
      <c r="I45" s="7">
        <f>Table1[[#This Row],[n_omp_threads]]*Table1[[#This Row],[n_mpi_procs]]</f>
        <v>128</v>
      </c>
      <c r="J45" s="11">
        <f>Table1[[#This Row],[total_devices]]/Table1[[#This Row],[n_nodes]]</f>
        <v>64</v>
      </c>
    </row>
    <row r="46" spans="1:10" x14ac:dyDescent="0.25">
      <c r="A46" s="4" t="s">
        <v>1</v>
      </c>
      <c r="B46" s="5" t="s">
        <v>1</v>
      </c>
      <c r="C46" s="6" t="s">
        <v>20</v>
      </c>
      <c r="D46" s="6">
        <v>4</v>
      </c>
      <c r="E46" s="6">
        <v>32</v>
      </c>
      <c r="F46" s="6">
        <v>1</v>
      </c>
      <c r="G46" s="6">
        <v>32</v>
      </c>
      <c r="H46" s="7">
        <f>Table1[[#This Row],[n_mpi_procs]]*Table1[[#This Row],[n_omp_threads]]</f>
        <v>32</v>
      </c>
      <c r="I46" s="7">
        <f>Table1[[#This Row],[n_omp_threads]]*Table1[[#This Row],[n_mpi_procs]]</f>
        <v>32</v>
      </c>
      <c r="J46" s="11">
        <f>Table1[[#This Row],[total_devices]]/Table1[[#This Row],[n_nodes]]</f>
        <v>8</v>
      </c>
    </row>
    <row r="47" spans="1:10" x14ac:dyDescent="0.25">
      <c r="A47" s="16" t="s">
        <v>5</v>
      </c>
      <c r="B47" s="17" t="s">
        <v>0</v>
      </c>
      <c r="C47" s="14" t="s">
        <v>17</v>
      </c>
      <c r="D47" s="14">
        <v>4</v>
      </c>
      <c r="E47" s="14">
        <v>16</v>
      </c>
      <c r="F47" s="14">
        <v>16</v>
      </c>
      <c r="G47" s="6">
        <v>0</v>
      </c>
      <c r="H47" s="7">
        <f>Table1[[#This Row],[n_mpi_procs]]*Table1[[#This Row],[n_omp_threads]]</f>
        <v>256</v>
      </c>
      <c r="I47" s="7">
        <f>Table1[[#This Row],[n_omp_threads]]*Table1[[#This Row],[n_mpi_procs]]</f>
        <v>256</v>
      </c>
      <c r="J47" s="11">
        <f>Table1[[#This Row],[total_devices]]/Table1[[#This Row],[n_nodes]]</f>
        <v>64</v>
      </c>
    </row>
    <row r="48" spans="1:10" x14ac:dyDescent="0.25">
      <c r="A48" s="16" t="s">
        <v>5</v>
      </c>
      <c r="B48" s="17" t="s">
        <v>0</v>
      </c>
      <c r="C48" s="14" t="s">
        <v>17</v>
      </c>
      <c r="D48" s="14">
        <v>4</v>
      </c>
      <c r="E48" s="14">
        <v>8</v>
      </c>
      <c r="F48" s="14">
        <v>32</v>
      </c>
      <c r="G48" s="6">
        <v>0</v>
      </c>
      <c r="H48" s="7">
        <f>Table1[[#This Row],[n_mpi_procs]]*Table1[[#This Row],[n_omp_threads]]</f>
        <v>256</v>
      </c>
      <c r="I48" s="7">
        <f>Table1[[#This Row],[n_omp_threads]]*Table1[[#This Row],[n_mpi_procs]]</f>
        <v>256</v>
      </c>
      <c r="J48" s="11">
        <f>Table1[[#This Row],[total_devices]]/Table1[[#This Row],[n_nodes]]</f>
        <v>64</v>
      </c>
    </row>
    <row r="49" spans="1:10" x14ac:dyDescent="0.25">
      <c r="A49" s="16" t="s">
        <v>5</v>
      </c>
      <c r="B49" s="17" t="s">
        <v>0</v>
      </c>
      <c r="C49" s="14" t="s">
        <v>17</v>
      </c>
      <c r="D49" s="14">
        <v>4</v>
      </c>
      <c r="E49" s="14">
        <v>4</v>
      </c>
      <c r="F49" s="14">
        <v>64</v>
      </c>
      <c r="G49" s="6">
        <v>0</v>
      </c>
      <c r="H49" s="7">
        <f>Table1[[#This Row],[n_mpi_procs]]*Table1[[#This Row],[n_omp_threads]]</f>
        <v>256</v>
      </c>
      <c r="I49" s="7">
        <f>Table1[[#This Row],[n_omp_threads]]*Table1[[#This Row],[n_mpi_procs]]</f>
        <v>256</v>
      </c>
      <c r="J49" s="11">
        <f>Table1[[#This Row],[total_devices]]/Table1[[#This Row],[n_nodes]]</f>
        <v>64</v>
      </c>
    </row>
    <row r="50" spans="1:10" x14ac:dyDescent="0.25">
      <c r="A50" s="16" t="s">
        <v>5</v>
      </c>
      <c r="B50" s="17" t="s">
        <v>0</v>
      </c>
      <c r="C50" s="14" t="s">
        <v>17</v>
      </c>
      <c r="D50" s="14">
        <v>4</v>
      </c>
      <c r="E50" s="14">
        <v>2</v>
      </c>
      <c r="F50" s="14">
        <v>128</v>
      </c>
      <c r="G50" s="6">
        <v>0</v>
      </c>
      <c r="H50" s="7">
        <f>Table1[[#This Row],[n_mpi_procs]]*Table1[[#This Row],[n_omp_threads]]</f>
        <v>256</v>
      </c>
      <c r="I50" s="7">
        <f>Table1[[#This Row],[n_omp_threads]]*Table1[[#This Row],[n_mpi_procs]]</f>
        <v>256</v>
      </c>
      <c r="J50" s="11">
        <f>Table1[[#This Row],[total_devices]]/Table1[[#This Row],[n_nodes]]</f>
        <v>64</v>
      </c>
    </row>
    <row r="51" spans="1:10" x14ac:dyDescent="0.25">
      <c r="A51" s="18" t="s">
        <v>4</v>
      </c>
      <c r="B51" s="19" t="s">
        <v>0</v>
      </c>
      <c r="C51" s="15" t="s">
        <v>18</v>
      </c>
      <c r="D51" s="15">
        <v>4</v>
      </c>
      <c r="E51" s="15">
        <v>256</v>
      </c>
      <c r="F51" s="15">
        <v>1</v>
      </c>
      <c r="G51" s="6">
        <v>0</v>
      </c>
      <c r="H51" s="7">
        <f>Table1[[#This Row],[n_mpi_procs]]*Table1[[#This Row],[n_omp_threads]]</f>
        <v>256</v>
      </c>
      <c r="I51" s="7">
        <f>Table1[[#This Row],[n_omp_threads]]*Table1[[#This Row],[n_mpi_procs]]</f>
        <v>256</v>
      </c>
      <c r="J51" s="11">
        <f>Table1[[#This Row],[total_devices]]/Table1[[#This Row],[n_nodes]]</f>
        <v>64</v>
      </c>
    </row>
    <row r="52" spans="1:10" x14ac:dyDescent="0.25">
      <c r="A52" s="18" t="s">
        <v>5</v>
      </c>
      <c r="B52" s="19" t="s">
        <v>0</v>
      </c>
      <c r="C52" s="15" t="s">
        <v>17</v>
      </c>
      <c r="D52" s="15">
        <v>4</v>
      </c>
      <c r="E52" s="9">
        <v>32</v>
      </c>
      <c r="F52" s="9">
        <v>8</v>
      </c>
      <c r="G52" s="9">
        <v>0</v>
      </c>
      <c r="H52" s="10">
        <f>Table1[[#This Row],[n_mpi_procs]]*Table1[[#This Row],[n_omp_threads]]</f>
        <v>256</v>
      </c>
      <c r="I52" s="10">
        <f>Table1[[#This Row],[n_omp_threads]]*Table1[[#This Row],[n_mpi_procs]]</f>
        <v>256</v>
      </c>
      <c r="J52" s="11">
        <f>Table1[[#This Row],[total_devices]]/Table1[[#This Row],[n_nodes]]</f>
        <v>64</v>
      </c>
    </row>
    <row r="53" spans="1:10" x14ac:dyDescent="0.25">
      <c r="A53" s="18" t="s">
        <v>5</v>
      </c>
      <c r="B53" s="19" t="s">
        <v>0</v>
      </c>
      <c r="C53" s="15" t="s">
        <v>17</v>
      </c>
      <c r="D53" s="15">
        <v>4</v>
      </c>
      <c r="E53" s="9">
        <v>64</v>
      </c>
      <c r="F53" s="9">
        <v>4</v>
      </c>
      <c r="G53" s="9">
        <v>0</v>
      </c>
      <c r="H53" s="10">
        <f>Table1[[#This Row],[n_mpi_procs]]*Table1[[#This Row],[n_omp_threads]]</f>
        <v>256</v>
      </c>
      <c r="I53" s="10">
        <f>Table1[[#This Row],[n_omp_threads]]*Table1[[#This Row],[n_mpi_procs]]</f>
        <v>256</v>
      </c>
      <c r="J53" s="11">
        <f>Table1[[#This Row],[total_devices]]/Table1[[#This Row],[n_nodes]]</f>
        <v>64</v>
      </c>
    </row>
    <row r="54" spans="1:10" x14ac:dyDescent="0.25">
      <c r="A54" s="16" t="s">
        <v>5</v>
      </c>
      <c r="B54" s="17" t="s">
        <v>0</v>
      </c>
      <c r="C54" s="14" t="s">
        <v>17</v>
      </c>
      <c r="D54" s="14">
        <v>4</v>
      </c>
      <c r="E54" s="9">
        <v>128</v>
      </c>
      <c r="F54" s="9">
        <v>2</v>
      </c>
      <c r="G54" s="6">
        <v>0</v>
      </c>
      <c r="H54" s="10">
        <f>Table1[[#This Row],[n_mpi_procs]]*Table1[[#This Row],[n_omp_threads]]</f>
        <v>256</v>
      </c>
      <c r="I54" s="10">
        <f>Table1[[#This Row],[n_omp_threads]]*Table1[[#This Row],[n_mpi_procs]]</f>
        <v>256</v>
      </c>
      <c r="J54" s="11">
        <f>Table1[[#This Row],[total_devices]]/Table1[[#This Row],[n_nodes]]</f>
        <v>64</v>
      </c>
    </row>
    <row r="55" spans="1:10" x14ac:dyDescent="0.25">
      <c r="A55" s="4" t="s">
        <v>1</v>
      </c>
      <c r="B55" s="5" t="s">
        <v>1</v>
      </c>
      <c r="C55" s="6" t="s">
        <v>20</v>
      </c>
      <c r="D55" s="6">
        <v>8</v>
      </c>
      <c r="E55" s="9">
        <v>64</v>
      </c>
      <c r="F55" s="9">
        <v>1</v>
      </c>
      <c r="G55" s="6">
        <v>64</v>
      </c>
      <c r="H55" s="10">
        <f>Table1[[#This Row],[n_mpi_procs]]*Table1[[#This Row],[n_omp_threads]]</f>
        <v>64</v>
      </c>
      <c r="I55" s="10">
        <f>Table1[[#This Row],[n_omp_threads]]*Table1[[#This Row],[n_mpi_procs]]</f>
        <v>64</v>
      </c>
      <c r="J55" s="11">
        <f>Table1[[#This Row],[total_devices]]/Table1[[#This Row],[n_nodes]]</f>
        <v>8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2026-01-31T10:25:10Z</dcterms:modified>
</cp:coreProperties>
</file>